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470ABAD1-F5C4-44D6-A545-9BE7E2A7A825}" xr6:coauthVersionLast="47" xr6:coauthVersionMax="47" xr10:uidLastSave="{00000000-0000-0000-0000-000000000000}"/>
  <bookViews>
    <workbookView xWindow="-28920" yWindow="-120" windowWidth="29040" windowHeight="15720" tabRatio="500" xr2:uid="{00000000-000D-0000-FFFF-FFFF00000000}"/>
  </bookViews>
  <sheets>
    <sheet name="DASHBOARD" sheetId="1" r:id="rId1"/>
    <sheet name="VEICULOS" sheetId="2" r:id="rId2"/>
    <sheet name="CONDUTORES" sheetId="3" r:id="rId3"/>
    <sheet name="FUNCIONARIOS" sheetId="4" r:id="rId4"/>
    <sheet name="BASE" sheetId="5" state="hidden" r:id="rId5"/>
  </sheets>
  <definedNames>
    <definedName name="_xlnm._FilterDatabase" localSheetId="2" hidden="1">CONDUTORES!$C$5:$H$95</definedName>
    <definedName name="_xlnm._FilterDatabase" localSheetId="3" hidden="1">FUNCIONARIOS!$A$5:$F$20</definedName>
    <definedName name="_xlnm._FilterDatabase" localSheetId="1" hidden="1">VEICULOS!$B$5:$G$35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36" i="5" l="1"/>
  <c r="F136" i="5" s="1"/>
  <c r="D136" i="5"/>
  <c r="G136" i="5" s="1"/>
  <c r="C136" i="5"/>
  <c r="B136" i="5"/>
  <c r="E135" i="5"/>
  <c r="F135" i="5" s="1"/>
  <c r="D135" i="5"/>
  <c r="G135" i="5" s="1"/>
  <c r="C135" i="5"/>
  <c r="B135" i="5"/>
  <c r="F134" i="5"/>
  <c r="E134" i="5"/>
  <c r="D134" i="5"/>
  <c r="G134" i="5" s="1"/>
  <c r="C134" i="5"/>
  <c r="B134" i="5"/>
  <c r="F133" i="5"/>
  <c r="E133" i="5"/>
  <c r="D133" i="5"/>
  <c r="G133" i="5" s="1"/>
  <c r="C133" i="5"/>
  <c r="B133" i="5"/>
  <c r="F132" i="5"/>
  <c r="E132" i="5"/>
  <c r="D132" i="5"/>
  <c r="G132" i="5" s="1"/>
  <c r="C132" i="5"/>
  <c r="B132" i="5"/>
  <c r="F131" i="5"/>
  <c r="E131" i="5"/>
  <c r="D131" i="5"/>
  <c r="G131" i="5" s="1"/>
  <c r="C131" i="5"/>
  <c r="B131" i="5"/>
  <c r="E130" i="5"/>
  <c r="F130" i="5" s="1"/>
  <c r="D130" i="5"/>
  <c r="G130" i="5" s="1"/>
  <c r="C130" i="5"/>
  <c r="B130" i="5"/>
  <c r="E129" i="5"/>
  <c r="F129" i="5" s="1"/>
  <c r="D129" i="5"/>
  <c r="G129" i="5" s="1"/>
  <c r="C129" i="5"/>
  <c r="B129" i="5"/>
  <c r="E128" i="5"/>
  <c r="F128" i="5" s="1"/>
  <c r="D128" i="5"/>
  <c r="C128" i="5"/>
  <c r="B128" i="5"/>
  <c r="E127" i="5"/>
  <c r="F127" i="5" s="1"/>
  <c r="D127" i="5"/>
  <c r="G127" i="5" s="1"/>
  <c r="C127" i="5"/>
  <c r="B127" i="5"/>
  <c r="F126" i="5"/>
  <c r="E126" i="5"/>
  <c r="D126" i="5"/>
  <c r="G126" i="5" s="1"/>
  <c r="C126" i="5"/>
  <c r="B126" i="5"/>
  <c r="F125" i="5"/>
  <c r="E125" i="5"/>
  <c r="D125" i="5"/>
  <c r="G125" i="5" s="1"/>
  <c r="C125" i="5"/>
  <c r="B125" i="5"/>
  <c r="F124" i="5"/>
  <c r="E124" i="5"/>
  <c r="D124" i="5"/>
  <c r="G124" i="5" s="1"/>
  <c r="C124" i="5"/>
  <c r="B124" i="5"/>
  <c r="F123" i="5"/>
  <c r="E123" i="5"/>
  <c r="D123" i="5"/>
  <c r="C123" i="5"/>
  <c r="B123" i="5"/>
  <c r="E122" i="5"/>
  <c r="F122" i="5" s="1"/>
  <c r="D122" i="5"/>
  <c r="C122" i="5"/>
  <c r="B122" i="5"/>
  <c r="E121" i="5"/>
  <c r="F121" i="5" s="1"/>
  <c r="D121" i="5"/>
  <c r="G121" i="5" s="1"/>
  <c r="C121" i="5"/>
  <c r="B121" i="5"/>
  <c r="F120" i="5"/>
  <c r="E120" i="5"/>
  <c r="D120" i="5"/>
  <c r="G120" i="5" s="1"/>
  <c r="C120" i="5"/>
  <c r="B120" i="5"/>
  <c r="E119" i="5"/>
  <c r="F119" i="5" s="1"/>
  <c r="D119" i="5"/>
  <c r="G119" i="5" s="1"/>
  <c r="C119" i="5"/>
  <c r="B119" i="5"/>
  <c r="E118" i="5"/>
  <c r="F118" i="5" s="1"/>
  <c r="D118" i="5"/>
  <c r="G118" i="5" s="1"/>
  <c r="C118" i="5"/>
  <c r="B118" i="5"/>
  <c r="F117" i="5"/>
  <c r="E117" i="5"/>
  <c r="D117" i="5"/>
  <c r="C117" i="5"/>
  <c r="B117" i="5"/>
  <c r="F116" i="5"/>
  <c r="E116" i="5"/>
  <c r="D116" i="5"/>
  <c r="G116" i="5" s="1"/>
  <c r="C116" i="5"/>
  <c r="B116" i="5"/>
  <c r="E115" i="5"/>
  <c r="F115" i="5" s="1"/>
  <c r="D115" i="5"/>
  <c r="G115" i="5" s="1"/>
  <c r="C115" i="5"/>
  <c r="B115" i="5"/>
  <c r="F114" i="5"/>
  <c r="E114" i="5"/>
  <c r="D114" i="5"/>
  <c r="C114" i="5"/>
  <c r="B114" i="5"/>
  <c r="E113" i="5"/>
  <c r="F113" i="5" s="1"/>
  <c r="D113" i="5"/>
  <c r="C113" i="5"/>
  <c r="B113" i="5"/>
  <c r="F112" i="5"/>
  <c r="E112" i="5"/>
  <c r="D112" i="5"/>
  <c r="G112" i="5" s="1"/>
  <c r="C112" i="5"/>
  <c r="B112" i="5"/>
  <c r="E111" i="5"/>
  <c r="F111" i="5" s="1"/>
  <c r="D111" i="5"/>
  <c r="C111" i="5"/>
  <c r="B111" i="5"/>
  <c r="E110" i="5"/>
  <c r="F110" i="5" s="1"/>
  <c r="D110" i="5"/>
  <c r="G110" i="5" s="1"/>
  <c r="C110" i="5"/>
  <c r="B110" i="5"/>
  <c r="F109" i="5"/>
  <c r="E109" i="5"/>
  <c r="D109" i="5"/>
  <c r="C109" i="5"/>
  <c r="B109" i="5"/>
  <c r="F108" i="5"/>
  <c r="E108" i="5"/>
  <c r="D108" i="5"/>
  <c r="G108" i="5" s="1"/>
  <c r="C108" i="5"/>
  <c r="B108" i="5"/>
  <c r="E107" i="5"/>
  <c r="F107" i="5" s="1"/>
  <c r="D107" i="5"/>
  <c r="G107" i="5" s="1"/>
  <c r="C107" i="5"/>
  <c r="B107" i="5"/>
  <c r="F106" i="5"/>
  <c r="E106" i="5"/>
  <c r="D106" i="5"/>
  <c r="C106" i="5"/>
  <c r="B106" i="5"/>
  <c r="E105" i="5"/>
  <c r="F105" i="5" s="1"/>
  <c r="D105" i="5"/>
  <c r="C105" i="5"/>
  <c r="B105" i="5"/>
  <c r="F104" i="5"/>
  <c r="E104" i="5"/>
  <c r="D104" i="5"/>
  <c r="G104" i="5" s="1"/>
  <c r="C104" i="5"/>
  <c r="B104" i="5"/>
  <c r="E103" i="5"/>
  <c r="F103" i="5" s="1"/>
  <c r="D103" i="5"/>
  <c r="C103" i="5"/>
  <c r="B103" i="5"/>
  <c r="E102" i="5"/>
  <c r="F102" i="5" s="1"/>
  <c r="D102" i="5"/>
  <c r="G102" i="5" s="1"/>
  <c r="C102" i="5"/>
  <c r="B102" i="5"/>
  <c r="F101" i="5"/>
  <c r="E101" i="5"/>
  <c r="D101" i="5"/>
  <c r="C101" i="5"/>
  <c r="B101" i="5"/>
  <c r="F100" i="5"/>
  <c r="E100" i="5"/>
  <c r="D100" i="5"/>
  <c r="G100" i="5" s="1"/>
  <c r="C100" i="5"/>
  <c r="B100" i="5"/>
  <c r="E99" i="5"/>
  <c r="F99" i="5" s="1"/>
  <c r="D99" i="5"/>
  <c r="G99" i="5" s="1"/>
  <c r="C99" i="5"/>
  <c r="B99" i="5"/>
  <c r="F98" i="5"/>
  <c r="E98" i="5"/>
  <c r="D98" i="5"/>
  <c r="C98" i="5"/>
  <c r="B98" i="5"/>
  <c r="E97" i="5"/>
  <c r="F97" i="5" s="1"/>
  <c r="D97" i="5"/>
  <c r="C97" i="5"/>
  <c r="B97" i="5"/>
  <c r="F96" i="5"/>
  <c r="E96" i="5"/>
  <c r="D96" i="5"/>
  <c r="G96" i="5" s="1"/>
  <c r="C96" i="5"/>
  <c r="B96" i="5"/>
  <c r="E95" i="5"/>
  <c r="F95" i="5" s="1"/>
  <c r="D95" i="5"/>
  <c r="C95" i="5"/>
  <c r="B95" i="5"/>
  <c r="E94" i="5"/>
  <c r="F94" i="5" s="1"/>
  <c r="D94" i="5"/>
  <c r="G94" i="5" s="1"/>
  <c r="C94" i="5"/>
  <c r="B94" i="5"/>
  <c r="F93" i="5"/>
  <c r="E93" i="5"/>
  <c r="D93" i="5"/>
  <c r="C93" i="5"/>
  <c r="B93" i="5"/>
  <c r="F92" i="5"/>
  <c r="E92" i="5"/>
  <c r="D92" i="5"/>
  <c r="G92" i="5" s="1"/>
  <c r="C92" i="5"/>
  <c r="B92" i="5"/>
  <c r="E91" i="5"/>
  <c r="F91" i="5" s="1"/>
  <c r="D91" i="5"/>
  <c r="G91" i="5" s="1"/>
  <c r="C91" i="5"/>
  <c r="B91" i="5"/>
  <c r="F90" i="5"/>
  <c r="E90" i="5"/>
  <c r="D90" i="5"/>
  <c r="G90" i="5" s="1"/>
  <c r="C90" i="5"/>
  <c r="B90" i="5"/>
  <c r="E89" i="5"/>
  <c r="F89" i="5" s="1"/>
  <c r="D89" i="5"/>
  <c r="C89" i="5"/>
  <c r="B89" i="5"/>
  <c r="F88" i="5"/>
  <c r="E88" i="5"/>
  <c r="D88" i="5"/>
  <c r="G88" i="5" s="1"/>
  <c r="C88" i="5"/>
  <c r="B88" i="5"/>
  <c r="E87" i="5"/>
  <c r="F87" i="5" s="1"/>
  <c r="D87" i="5"/>
  <c r="C87" i="5"/>
  <c r="B87" i="5"/>
  <c r="E86" i="5"/>
  <c r="F86" i="5" s="1"/>
  <c r="D86" i="5"/>
  <c r="G86" i="5" s="1"/>
  <c r="C86" i="5"/>
  <c r="B86" i="5"/>
  <c r="F85" i="5"/>
  <c r="E85" i="5"/>
  <c r="D85" i="5"/>
  <c r="C85" i="5"/>
  <c r="B85" i="5"/>
  <c r="F84" i="5"/>
  <c r="E84" i="5"/>
  <c r="D84" i="5"/>
  <c r="G84" i="5" s="1"/>
  <c r="C84" i="5"/>
  <c r="B84" i="5"/>
  <c r="E83" i="5"/>
  <c r="F83" i="5" s="1"/>
  <c r="D83" i="5"/>
  <c r="G83" i="5" s="1"/>
  <c r="C83" i="5"/>
  <c r="B83" i="5"/>
  <c r="F82" i="5"/>
  <c r="E82" i="5"/>
  <c r="D82" i="5"/>
  <c r="G82" i="5" s="1"/>
  <c r="C82" i="5"/>
  <c r="B82" i="5"/>
  <c r="E81" i="5"/>
  <c r="F81" i="5" s="1"/>
  <c r="D81" i="5"/>
  <c r="C81" i="5"/>
  <c r="B81" i="5"/>
  <c r="F80" i="5"/>
  <c r="E80" i="5"/>
  <c r="D80" i="5"/>
  <c r="G80" i="5" s="1"/>
  <c r="C80" i="5"/>
  <c r="B80" i="5"/>
  <c r="E79" i="5"/>
  <c r="F79" i="5" s="1"/>
  <c r="D79" i="5"/>
  <c r="C79" i="5"/>
  <c r="B79" i="5"/>
  <c r="E78" i="5"/>
  <c r="F78" i="5" s="1"/>
  <c r="D78" i="5"/>
  <c r="G78" i="5" s="1"/>
  <c r="C78" i="5"/>
  <c r="B78" i="5"/>
  <c r="F77" i="5"/>
  <c r="E77" i="5"/>
  <c r="D77" i="5"/>
  <c r="C77" i="5"/>
  <c r="B77" i="5"/>
  <c r="F76" i="5"/>
  <c r="E76" i="5"/>
  <c r="D76" i="5"/>
  <c r="G76" i="5" s="1"/>
  <c r="C76" i="5"/>
  <c r="B76" i="5"/>
  <c r="E75" i="5"/>
  <c r="F75" i="5" s="1"/>
  <c r="D75" i="5"/>
  <c r="G75" i="5" s="1"/>
  <c r="C75" i="5"/>
  <c r="B75" i="5"/>
  <c r="F74" i="5"/>
  <c r="E74" i="5"/>
  <c r="D74" i="5"/>
  <c r="C74" i="5"/>
  <c r="B74" i="5"/>
  <c r="E73" i="5"/>
  <c r="F73" i="5" s="1"/>
  <c r="D73" i="5"/>
  <c r="C73" i="5"/>
  <c r="B73" i="5"/>
  <c r="F72" i="5"/>
  <c r="E72" i="5"/>
  <c r="D72" i="5"/>
  <c r="G72" i="5" s="1"/>
  <c r="C72" i="5"/>
  <c r="B72" i="5"/>
  <c r="E71" i="5"/>
  <c r="F71" i="5" s="1"/>
  <c r="D71" i="5"/>
  <c r="G71" i="5" s="1"/>
  <c r="C71" i="5"/>
  <c r="B71" i="5"/>
  <c r="E70" i="5"/>
  <c r="F70" i="5" s="1"/>
  <c r="D70" i="5"/>
  <c r="G70" i="5" s="1"/>
  <c r="C70" i="5"/>
  <c r="B70" i="5"/>
  <c r="F69" i="5"/>
  <c r="E69" i="5"/>
  <c r="D69" i="5"/>
  <c r="C69" i="5"/>
  <c r="B69" i="5"/>
  <c r="F68" i="5"/>
  <c r="E68" i="5"/>
  <c r="D68" i="5"/>
  <c r="G68" i="5" s="1"/>
  <c r="C68" i="5"/>
  <c r="B68" i="5"/>
  <c r="E67" i="5"/>
  <c r="F67" i="5" s="1"/>
  <c r="D67" i="5"/>
  <c r="G67" i="5" s="1"/>
  <c r="C67" i="5"/>
  <c r="B67" i="5"/>
  <c r="F66" i="5"/>
  <c r="E66" i="5"/>
  <c r="D66" i="5"/>
  <c r="G66" i="5" s="1"/>
  <c r="C66" i="5"/>
  <c r="B66" i="5"/>
  <c r="E65" i="5"/>
  <c r="F65" i="5" s="1"/>
  <c r="D65" i="5"/>
  <c r="C65" i="5"/>
  <c r="B65" i="5"/>
  <c r="F64" i="5"/>
  <c r="E64" i="5"/>
  <c r="D64" i="5"/>
  <c r="G64" i="5" s="1"/>
  <c r="C64" i="5"/>
  <c r="B64" i="5"/>
  <c r="E63" i="5"/>
  <c r="F63" i="5" s="1"/>
  <c r="D63" i="5"/>
  <c r="C63" i="5"/>
  <c r="B63" i="5"/>
  <c r="E62" i="5"/>
  <c r="F62" i="5" s="1"/>
  <c r="D62" i="5"/>
  <c r="G62" i="5" s="1"/>
  <c r="C62" i="5"/>
  <c r="B62" i="5"/>
  <c r="F61" i="5"/>
  <c r="E61" i="5"/>
  <c r="D61" i="5"/>
  <c r="C61" i="5"/>
  <c r="B61" i="5"/>
  <c r="F60" i="5"/>
  <c r="E60" i="5"/>
  <c r="D60" i="5"/>
  <c r="G60" i="5" s="1"/>
  <c r="C60" i="5"/>
  <c r="B60" i="5"/>
  <c r="E59" i="5"/>
  <c r="F59" i="5" s="1"/>
  <c r="D59" i="5"/>
  <c r="G59" i="5" s="1"/>
  <c r="C59" i="5"/>
  <c r="B59" i="5"/>
  <c r="F58" i="5"/>
  <c r="E58" i="5"/>
  <c r="D58" i="5"/>
  <c r="G58" i="5" s="1"/>
  <c r="C58" i="5"/>
  <c r="B58" i="5"/>
  <c r="E57" i="5"/>
  <c r="F57" i="5" s="1"/>
  <c r="D57" i="5"/>
  <c r="C57" i="5"/>
  <c r="B57" i="5"/>
  <c r="F56" i="5"/>
  <c r="E56" i="5"/>
  <c r="D56" i="5"/>
  <c r="G56" i="5" s="1"/>
  <c r="C56" i="5"/>
  <c r="B56" i="5"/>
  <c r="E55" i="5"/>
  <c r="F55" i="5" s="1"/>
  <c r="D55" i="5"/>
  <c r="C55" i="5"/>
  <c r="B55" i="5"/>
  <c r="E54" i="5"/>
  <c r="F54" i="5" s="1"/>
  <c r="D54" i="5"/>
  <c r="G54" i="5" s="1"/>
  <c r="C54" i="5"/>
  <c r="B54" i="5"/>
  <c r="F53" i="5"/>
  <c r="E53" i="5"/>
  <c r="D53" i="5"/>
  <c r="C53" i="5"/>
  <c r="B53" i="5"/>
  <c r="F52" i="5"/>
  <c r="E52" i="5"/>
  <c r="D52" i="5"/>
  <c r="G52" i="5" s="1"/>
  <c r="C52" i="5"/>
  <c r="B52" i="5"/>
  <c r="E51" i="5"/>
  <c r="F51" i="5" s="1"/>
  <c r="D51" i="5"/>
  <c r="G51" i="5" s="1"/>
  <c r="C51" i="5"/>
  <c r="B51" i="5"/>
  <c r="F50" i="5"/>
  <c r="E50" i="5"/>
  <c r="D50" i="5"/>
  <c r="C50" i="5"/>
  <c r="B50" i="5"/>
  <c r="E49" i="5"/>
  <c r="F49" i="5" s="1"/>
  <c r="D49" i="5"/>
  <c r="G49" i="5" s="1"/>
  <c r="C49" i="5"/>
  <c r="B49" i="5"/>
  <c r="F48" i="5"/>
  <c r="E48" i="5"/>
  <c r="D48" i="5"/>
  <c r="G48" i="5" s="1"/>
  <c r="C48" i="5"/>
  <c r="B48" i="5"/>
  <c r="E47" i="5"/>
  <c r="F47" i="5" s="1"/>
  <c r="D47" i="5"/>
  <c r="C47" i="5"/>
  <c r="B47" i="5"/>
  <c r="E46" i="5"/>
  <c r="F46" i="5" s="1"/>
  <c r="D46" i="5"/>
  <c r="G46" i="5" s="1"/>
  <c r="C46" i="5"/>
  <c r="B46" i="5"/>
  <c r="F45" i="5"/>
  <c r="E45" i="5"/>
  <c r="D45" i="5"/>
  <c r="C45" i="5"/>
  <c r="B45" i="5"/>
  <c r="F44" i="5"/>
  <c r="E44" i="5"/>
  <c r="D44" i="5"/>
  <c r="G44" i="5" s="1"/>
  <c r="C44" i="5"/>
  <c r="B44" i="5"/>
  <c r="E43" i="5"/>
  <c r="F43" i="5" s="1"/>
  <c r="D43" i="5"/>
  <c r="G43" i="5" s="1"/>
  <c r="C43" i="5"/>
  <c r="B43" i="5"/>
  <c r="F42" i="5"/>
  <c r="E42" i="5"/>
  <c r="D42" i="5"/>
  <c r="C42" i="5"/>
  <c r="B42" i="5"/>
  <c r="E41" i="5"/>
  <c r="F41" i="5" s="1"/>
  <c r="D41" i="5"/>
  <c r="C41" i="5"/>
  <c r="B41" i="5"/>
  <c r="F40" i="5"/>
  <c r="E40" i="5"/>
  <c r="D40" i="5"/>
  <c r="G40" i="5" s="1"/>
  <c r="C40" i="5"/>
  <c r="B40" i="5"/>
  <c r="E39" i="5"/>
  <c r="F39" i="5" s="1"/>
  <c r="D39" i="5"/>
  <c r="C39" i="5"/>
  <c r="B39" i="5"/>
  <c r="E38" i="5"/>
  <c r="F38" i="5" s="1"/>
  <c r="D38" i="5"/>
  <c r="G38" i="5" s="1"/>
  <c r="C38" i="5"/>
  <c r="B38" i="5"/>
  <c r="F37" i="5"/>
  <c r="E37" i="5"/>
  <c r="D37" i="5"/>
  <c r="C37" i="5"/>
  <c r="B37" i="5"/>
  <c r="F36" i="5"/>
  <c r="E36" i="5"/>
  <c r="D36" i="5"/>
  <c r="G36" i="5" s="1"/>
  <c r="C36" i="5"/>
  <c r="B36" i="5"/>
  <c r="E35" i="5"/>
  <c r="F35" i="5" s="1"/>
  <c r="D35" i="5"/>
  <c r="G35" i="5" s="1"/>
  <c r="C35" i="5"/>
  <c r="B35" i="5"/>
  <c r="F34" i="5"/>
  <c r="E34" i="5"/>
  <c r="D34" i="5"/>
  <c r="C34" i="5"/>
  <c r="B34" i="5"/>
  <c r="E33" i="5"/>
  <c r="F33" i="5" s="1"/>
  <c r="D33" i="5"/>
  <c r="C33" i="5"/>
  <c r="B33" i="5"/>
  <c r="F32" i="5"/>
  <c r="E32" i="5"/>
  <c r="D32" i="5"/>
  <c r="G32" i="5" s="1"/>
  <c r="C32" i="5"/>
  <c r="B32" i="5"/>
  <c r="F31" i="5"/>
  <c r="E31" i="5"/>
  <c r="D31" i="5"/>
  <c r="G31" i="5" s="1"/>
  <c r="B31" i="5"/>
  <c r="G30" i="5"/>
  <c r="E30" i="5"/>
  <c r="F30" i="5" s="1"/>
  <c r="D30" i="5"/>
  <c r="B30" i="5"/>
  <c r="F29" i="5"/>
  <c r="E29" i="5"/>
  <c r="D29" i="5"/>
  <c r="G29" i="5" s="1"/>
  <c r="B29" i="5"/>
  <c r="E28" i="5"/>
  <c r="F28" i="5" s="1"/>
  <c r="D28" i="5"/>
  <c r="B28" i="5"/>
  <c r="F27" i="5"/>
  <c r="E27" i="5"/>
  <c r="D27" i="5"/>
  <c r="G27" i="5" s="1"/>
  <c r="B27" i="5"/>
  <c r="G26" i="5"/>
  <c r="E26" i="5"/>
  <c r="F26" i="5" s="1"/>
  <c r="D26" i="5"/>
  <c r="B26" i="5"/>
  <c r="F25" i="5"/>
  <c r="E25" i="5"/>
  <c r="D25" i="5"/>
  <c r="G25" i="5" s="1"/>
  <c r="B25" i="5"/>
  <c r="E24" i="5"/>
  <c r="D24" i="5"/>
  <c r="B24" i="5"/>
  <c r="F23" i="5"/>
  <c r="E23" i="5"/>
  <c r="D23" i="5"/>
  <c r="G23" i="5" s="1"/>
  <c r="B23" i="5"/>
  <c r="E22" i="5"/>
  <c r="F22" i="5" s="1"/>
  <c r="D22" i="5"/>
  <c r="B22" i="5"/>
  <c r="F21" i="5"/>
  <c r="E21" i="5"/>
  <c r="D21" i="5"/>
  <c r="G21" i="5" s="1"/>
  <c r="B21" i="5"/>
  <c r="G20" i="5"/>
  <c r="E20" i="5"/>
  <c r="F20" i="5" s="1"/>
  <c r="D20" i="5"/>
  <c r="B20" i="5"/>
  <c r="F19" i="5"/>
  <c r="E19" i="5"/>
  <c r="D19" i="5"/>
  <c r="G19" i="5" s="1"/>
  <c r="B19" i="5"/>
  <c r="G18" i="5"/>
  <c r="E18" i="5"/>
  <c r="F18" i="5" s="1"/>
  <c r="D18" i="5"/>
  <c r="B18" i="5"/>
  <c r="F17" i="5"/>
  <c r="E17" i="5"/>
  <c r="D17" i="5"/>
  <c r="G17" i="5" s="1"/>
  <c r="B17" i="5"/>
  <c r="E16" i="5"/>
  <c r="F16" i="5" s="1"/>
  <c r="D16" i="5"/>
  <c r="B16" i="5"/>
  <c r="F15" i="5"/>
  <c r="E15" i="5"/>
  <c r="D15" i="5"/>
  <c r="G15" i="5" s="1"/>
  <c r="B15" i="5"/>
  <c r="E14" i="5"/>
  <c r="F14" i="5" s="1"/>
  <c r="D14" i="5"/>
  <c r="B14" i="5"/>
  <c r="F13" i="5"/>
  <c r="E13" i="5"/>
  <c r="D13" i="5"/>
  <c r="G13" i="5" s="1"/>
  <c r="B13" i="5"/>
  <c r="E12" i="5"/>
  <c r="F12" i="5" s="1"/>
  <c r="D12" i="5"/>
  <c r="B12" i="5"/>
  <c r="F11" i="5"/>
  <c r="E11" i="5"/>
  <c r="D11" i="5"/>
  <c r="G11" i="5" s="1"/>
  <c r="B11" i="5"/>
  <c r="E10" i="5"/>
  <c r="F10" i="5" s="1"/>
  <c r="D10" i="5"/>
  <c r="B10" i="5"/>
  <c r="F9" i="5"/>
  <c r="E9" i="5"/>
  <c r="D9" i="5"/>
  <c r="G9" i="5" s="1"/>
  <c r="B9" i="5"/>
  <c r="E8" i="5"/>
  <c r="F8" i="5" s="1"/>
  <c r="D8" i="5"/>
  <c r="B8" i="5"/>
  <c r="F7" i="5"/>
  <c r="E7" i="5"/>
  <c r="D7" i="5"/>
  <c r="G7" i="5" s="1"/>
  <c r="B7" i="5"/>
  <c r="E6" i="5"/>
  <c r="F6" i="5" s="1"/>
  <c r="D6" i="5"/>
  <c r="B6" i="5"/>
  <c r="F5" i="5"/>
  <c r="E5" i="5"/>
  <c r="D5" i="5"/>
  <c r="G5" i="5" s="1"/>
  <c r="B5" i="5"/>
  <c r="G4" i="5"/>
  <c r="E4" i="5"/>
  <c r="F4" i="5" s="1"/>
  <c r="D4" i="5"/>
  <c r="B4" i="5"/>
  <c r="F3" i="5"/>
  <c r="E3" i="5"/>
  <c r="D3" i="5"/>
  <c r="G3" i="5" s="1"/>
  <c r="B3" i="5"/>
  <c r="G2" i="5"/>
  <c r="E2" i="5"/>
  <c r="F2" i="5" s="1"/>
  <c r="D2" i="5"/>
  <c r="B2" i="5"/>
  <c r="E20" i="4"/>
  <c r="A20" i="4"/>
  <c r="E19" i="4"/>
  <c r="A19" i="4"/>
  <c r="E18" i="4"/>
  <c r="A18" i="4"/>
  <c r="E17" i="4"/>
  <c r="A17" i="4"/>
  <c r="E16" i="4"/>
  <c r="A16" i="4"/>
  <c r="E15" i="4"/>
  <c r="A15" i="4"/>
  <c r="E14" i="4"/>
  <c r="A14" i="4"/>
  <c r="E13" i="4"/>
  <c r="A13" i="4"/>
  <c r="E12" i="4"/>
  <c r="A12" i="4"/>
  <c r="E11" i="4"/>
  <c r="A11" i="4"/>
  <c r="E10" i="4"/>
  <c r="A10" i="4"/>
  <c r="E9" i="4"/>
  <c r="A9" i="4"/>
  <c r="E8" i="4"/>
  <c r="A8" i="4"/>
  <c r="E7" i="4"/>
  <c r="A7" i="4"/>
  <c r="E6" i="4"/>
  <c r="A6" i="4"/>
  <c r="A4" i="4"/>
  <c r="G95" i="3"/>
  <c r="C95" i="3"/>
  <c r="G94" i="3"/>
  <c r="C94" i="3"/>
  <c r="G93" i="3"/>
  <c r="C93" i="3"/>
  <c r="G92" i="3"/>
  <c r="C92" i="3"/>
  <c r="G91" i="3"/>
  <c r="C91" i="3"/>
  <c r="G90" i="3"/>
  <c r="C90" i="3"/>
  <c r="G89" i="3"/>
  <c r="C89" i="3"/>
  <c r="G88" i="3"/>
  <c r="C88" i="3"/>
  <c r="G87" i="3"/>
  <c r="C87" i="3"/>
  <c r="G86" i="3"/>
  <c r="C86" i="3"/>
  <c r="G85" i="3"/>
  <c r="C85" i="3"/>
  <c r="G84" i="3"/>
  <c r="C84" i="3"/>
  <c r="G83" i="3"/>
  <c r="C83" i="3"/>
  <c r="G82" i="3"/>
  <c r="C82" i="3"/>
  <c r="G81" i="3"/>
  <c r="C81" i="3"/>
  <c r="G80" i="3"/>
  <c r="C80" i="3"/>
  <c r="G79" i="3"/>
  <c r="C79" i="3"/>
  <c r="G78" i="3"/>
  <c r="C78" i="3"/>
  <c r="G77" i="3"/>
  <c r="C77" i="3"/>
  <c r="G76" i="3"/>
  <c r="C76" i="3"/>
  <c r="G75" i="3"/>
  <c r="C75" i="3"/>
  <c r="G74" i="3"/>
  <c r="C74" i="3"/>
  <c r="G73" i="3"/>
  <c r="C73" i="3"/>
  <c r="G72" i="3"/>
  <c r="C72" i="3"/>
  <c r="G71" i="3"/>
  <c r="C71" i="3"/>
  <c r="G70" i="3"/>
  <c r="C70" i="3"/>
  <c r="G69" i="3"/>
  <c r="C69" i="3"/>
  <c r="G68" i="3"/>
  <c r="C68" i="3"/>
  <c r="G67" i="3"/>
  <c r="C67" i="3"/>
  <c r="G66" i="3"/>
  <c r="C66" i="3"/>
  <c r="G65" i="3"/>
  <c r="C65" i="3"/>
  <c r="G64" i="3"/>
  <c r="C64" i="3"/>
  <c r="G63" i="3"/>
  <c r="C63" i="3"/>
  <c r="G62" i="3"/>
  <c r="C62" i="3"/>
  <c r="G61" i="3"/>
  <c r="C61" i="3"/>
  <c r="G60" i="3"/>
  <c r="C60" i="3"/>
  <c r="G59" i="3"/>
  <c r="C59" i="3"/>
  <c r="G58" i="3"/>
  <c r="C58" i="3"/>
  <c r="G57" i="3"/>
  <c r="C57" i="3"/>
  <c r="G56" i="3"/>
  <c r="C56" i="3"/>
  <c r="G55" i="3"/>
  <c r="C55" i="3"/>
  <c r="G54" i="3"/>
  <c r="C54" i="3"/>
  <c r="G53" i="3"/>
  <c r="C53" i="3"/>
  <c r="G52" i="3"/>
  <c r="C52" i="3"/>
  <c r="G51" i="3"/>
  <c r="C51" i="3"/>
  <c r="G50" i="3"/>
  <c r="C50" i="3"/>
  <c r="G49" i="3"/>
  <c r="C49" i="3"/>
  <c r="G48" i="3"/>
  <c r="C48" i="3"/>
  <c r="G47" i="3"/>
  <c r="C47" i="3"/>
  <c r="G46" i="3"/>
  <c r="C46" i="3"/>
  <c r="G45" i="3"/>
  <c r="C45" i="3"/>
  <c r="G44" i="3"/>
  <c r="C44" i="3"/>
  <c r="G43" i="3"/>
  <c r="C43" i="3"/>
  <c r="G42" i="3"/>
  <c r="C42" i="3"/>
  <c r="G41" i="3"/>
  <c r="C41" i="3"/>
  <c r="G40" i="3"/>
  <c r="C40" i="3"/>
  <c r="G39" i="3"/>
  <c r="C39" i="3"/>
  <c r="G38" i="3"/>
  <c r="C38" i="3"/>
  <c r="G37" i="3"/>
  <c r="C37" i="3"/>
  <c r="G36" i="3"/>
  <c r="C36" i="3"/>
  <c r="G35" i="3"/>
  <c r="C35" i="3"/>
  <c r="G34" i="3"/>
  <c r="C34" i="3"/>
  <c r="G33" i="3"/>
  <c r="C33" i="3"/>
  <c r="G32" i="3"/>
  <c r="C32" i="3"/>
  <c r="G31" i="3"/>
  <c r="C31" i="3"/>
  <c r="G30" i="3"/>
  <c r="C30" i="3"/>
  <c r="G29" i="3"/>
  <c r="C29" i="3"/>
  <c r="G28" i="3"/>
  <c r="C28" i="3"/>
  <c r="G27" i="3"/>
  <c r="C27" i="3"/>
  <c r="G26" i="3"/>
  <c r="C26" i="3"/>
  <c r="G25" i="3"/>
  <c r="C25" i="3"/>
  <c r="G24" i="3"/>
  <c r="C24" i="3"/>
  <c r="G23" i="3"/>
  <c r="C23" i="3"/>
  <c r="G22" i="3"/>
  <c r="C22" i="3"/>
  <c r="G21" i="3"/>
  <c r="C21" i="3"/>
  <c r="G20" i="3"/>
  <c r="C20" i="3"/>
  <c r="G19" i="3"/>
  <c r="C19" i="3"/>
  <c r="G18" i="3"/>
  <c r="C18" i="3"/>
  <c r="G17" i="3"/>
  <c r="C17" i="3"/>
  <c r="G16" i="3"/>
  <c r="C16" i="3"/>
  <c r="G15" i="3"/>
  <c r="C15" i="3"/>
  <c r="G14" i="3"/>
  <c r="C14" i="3"/>
  <c r="G13" i="3"/>
  <c r="C13" i="3"/>
  <c r="G12" i="3"/>
  <c r="C12" i="3"/>
  <c r="G11" i="3"/>
  <c r="C11" i="3"/>
  <c r="G10" i="3"/>
  <c r="C10" i="3"/>
  <c r="G9" i="3"/>
  <c r="C9" i="3"/>
  <c r="G8" i="3"/>
  <c r="C8" i="3"/>
  <c r="G7" i="3"/>
  <c r="C7" i="3"/>
  <c r="G6" i="3"/>
  <c r="C6" i="3"/>
  <c r="C4" i="3"/>
  <c r="F35" i="2"/>
  <c r="B35" i="2"/>
  <c r="F34" i="2"/>
  <c r="B34" i="2"/>
  <c r="F33" i="2"/>
  <c r="B33" i="2"/>
  <c r="F32" i="2"/>
  <c r="B32" i="2"/>
  <c r="F31" i="2"/>
  <c r="B31" i="2"/>
  <c r="F30" i="2"/>
  <c r="B30" i="2"/>
  <c r="F29" i="2"/>
  <c r="B29" i="2"/>
  <c r="F28" i="2"/>
  <c r="B28" i="2"/>
  <c r="F27" i="2"/>
  <c r="B27" i="2"/>
  <c r="F26" i="2"/>
  <c r="B26" i="2"/>
  <c r="F25" i="2"/>
  <c r="B25" i="2"/>
  <c r="F24" i="2"/>
  <c r="B24" i="2"/>
  <c r="F23" i="2"/>
  <c r="B23" i="2"/>
  <c r="F22" i="2"/>
  <c r="B22" i="2"/>
  <c r="F21" i="2"/>
  <c r="B21" i="2"/>
  <c r="F20" i="2"/>
  <c r="B20" i="2"/>
  <c r="F19" i="2"/>
  <c r="B19" i="2"/>
  <c r="F18" i="2"/>
  <c r="B18" i="2"/>
  <c r="F17" i="2"/>
  <c r="B17" i="2"/>
  <c r="F16" i="2"/>
  <c r="B16" i="2"/>
  <c r="F15" i="2"/>
  <c r="B15" i="2"/>
  <c r="F14" i="2"/>
  <c r="B14" i="2"/>
  <c r="F13" i="2"/>
  <c r="B13" i="2"/>
  <c r="F12" i="2"/>
  <c r="B12" i="2"/>
  <c r="F11" i="2"/>
  <c r="B11" i="2"/>
  <c r="F10" i="2"/>
  <c r="B10" i="2"/>
  <c r="F9" i="2"/>
  <c r="B9" i="2"/>
  <c r="F8" i="2"/>
  <c r="B8" i="2"/>
  <c r="F7" i="2"/>
  <c r="B7" i="2"/>
  <c r="F6" i="2"/>
  <c r="B6" i="2"/>
  <c r="B4" i="2"/>
  <c r="B11" i="1"/>
  <c r="G9" i="1"/>
  <c r="D9" i="1"/>
  <c r="B9" i="1"/>
  <c r="G8" i="1"/>
  <c r="D8" i="1"/>
  <c r="B8" i="1"/>
  <c r="G7" i="1"/>
  <c r="D7" i="1"/>
  <c r="B7" i="1"/>
  <c r="G6" i="1"/>
  <c r="D6" i="1"/>
  <c r="B6" i="1"/>
  <c r="G5" i="1"/>
  <c r="D5" i="1"/>
  <c r="B5" i="1"/>
  <c r="G33" i="5" l="1"/>
  <c r="G41" i="5"/>
  <c r="G57" i="5"/>
  <c r="G65" i="5"/>
  <c r="G73" i="5"/>
  <c r="G81" i="5"/>
  <c r="G89" i="5"/>
  <c r="G97" i="5"/>
  <c r="G105" i="5"/>
  <c r="G113" i="5"/>
  <c r="G37" i="5"/>
  <c r="G45" i="5"/>
  <c r="G53" i="5"/>
  <c r="G61" i="5"/>
  <c r="G69" i="5"/>
  <c r="G77" i="5"/>
  <c r="G85" i="5"/>
  <c r="G93" i="5"/>
  <c r="G101" i="5"/>
  <c r="G109" i="5"/>
  <c r="G117" i="5"/>
  <c r="G34" i="5"/>
  <c r="G42" i="5"/>
  <c r="G50" i="5"/>
  <c r="G74" i="5"/>
  <c r="G98" i="5"/>
  <c r="G106" i="5"/>
  <c r="G114" i="5"/>
  <c r="G39" i="5"/>
  <c r="G47" i="5"/>
  <c r="G55" i="5"/>
  <c r="G63" i="5"/>
  <c r="G79" i="5"/>
  <c r="G87" i="5"/>
  <c r="G95" i="5"/>
  <c r="G103" i="5"/>
  <c r="G111" i="5"/>
  <c r="G123" i="5"/>
  <c r="G128" i="5"/>
  <c r="G122" i="5"/>
  <c r="G24" i="5"/>
  <c r="F24" i="5"/>
  <c r="G28" i="5"/>
  <c r="G6" i="5"/>
  <c r="G8" i="5"/>
  <c r="G10" i="5"/>
  <c r="G12" i="5"/>
  <c r="G14" i="5"/>
  <c r="G16" i="5"/>
  <c r="G22" i="5"/>
  <c r="J62" i="1" l="1"/>
  <c r="J67" i="1"/>
  <c r="J54" i="1"/>
  <c r="J52" i="1"/>
  <c r="J42" i="1"/>
  <c r="J38" i="1"/>
  <c r="J34" i="1"/>
  <c r="J30" i="1"/>
  <c r="J26" i="1"/>
  <c r="J22" i="1"/>
  <c r="J65" i="1"/>
  <c r="J63" i="1"/>
  <c r="J50" i="1"/>
  <c r="J48" i="1"/>
  <c r="J70" i="1"/>
  <c r="J68" i="1"/>
  <c r="J53" i="1"/>
  <c r="J51" i="1"/>
  <c r="J44" i="1"/>
  <c r="J40" i="1"/>
  <c r="J36" i="1"/>
  <c r="J32" i="1"/>
  <c r="J28" i="1"/>
  <c r="J24" i="1"/>
  <c r="J47" i="1"/>
  <c r="J46" i="1"/>
  <c r="J45" i="1"/>
  <c r="J29" i="1"/>
  <c r="J19" i="1"/>
  <c r="J15" i="1"/>
  <c r="J21" i="1"/>
  <c r="J72" i="1"/>
  <c r="J49" i="1"/>
  <c r="J43" i="1"/>
  <c r="J33" i="1"/>
  <c r="J61" i="1"/>
  <c r="J64" i="1"/>
  <c r="J25" i="1"/>
  <c r="J20" i="1"/>
  <c r="J16" i="1"/>
  <c r="J17" i="1"/>
  <c r="J27" i="1"/>
  <c r="J73" i="1"/>
  <c r="J55" i="1"/>
  <c r="J41" i="1"/>
  <c r="J31" i="1"/>
  <c r="J59" i="1"/>
  <c r="J57" i="1"/>
  <c r="J56" i="1"/>
  <c r="J39" i="1"/>
  <c r="J60" i="1"/>
  <c r="J74" i="1"/>
  <c r="J58" i="1"/>
  <c r="J66" i="1"/>
  <c r="J37" i="1"/>
  <c r="J18" i="1"/>
  <c r="J35" i="1"/>
  <c r="J23" i="1"/>
  <c r="J71" i="1"/>
  <c r="J69" i="1"/>
  <c r="D59" i="1" l="1" a="1"/>
  <c r="D59" i="1" s="1"/>
  <c r="C59" i="1" a="1"/>
  <c r="C59" i="1" s="1"/>
  <c r="E59" i="1" a="1"/>
  <c r="E59" i="1" s="1"/>
  <c r="B59" i="1"/>
  <c r="G59" i="1" a="1"/>
  <c r="G59" i="1" s="1"/>
  <c r="F59" i="1" a="1"/>
  <c r="F59" i="1" s="1"/>
  <c r="G66" i="1" a="1"/>
  <c r="G66" i="1" s="1"/>
  <c r="C66" i="1" a="1"/>
  <c r="C66" i="1" s="1"/>
  <c r="B66" i="1"/>
  <c r="E66" i="1" a="1"/>
  <c r="E66" i="1" s="1"/>
  <c r="D66" i="1" a="1"/>
  <c r="D66" i="1" s="1"/>
  <c r="F66" i="1" a="1"/>
  <c r="F66" i="1" s="1"/>
  <c r="E32" i="1" a="1"/>
  <c r="E32" i="1" s="1"/>
  <c r="C32" i="1" a="1"/>
  <c r="C32" i="1" s="1"/>
  <c r="G32" i="1" a="1"/>
  <c r="G32" i="1" s="1"/>
  <c r="B32" i="1"/>
  <c r="F32" i="1" a="1"/>
  <c r="F32" i="1" s="1"/>
  <c r="D32" i="1" a="1"/>
  <c r="D32" i="1" s="1"/>
  <c r="E48" i="1" a="1"/>
  <c r="E48" i="1" s="1"/>
  <c r="B48" i="1"/>
  <c r="F48" i="1" a="1"/>
  <c r="F48" i="1" s="1"/>
  <c r="G48" i="1" a="1"/>
  <c r="G48" i="1" s="1"/>
  <c r="D48" i="1" a="1"/>
  <c r="D48" i="1" s="1"/>
  <c r="C48" i="1" a="1"/>
  <c r="C48" i="1" s="1"/>
  <c r="G38" i="1" a="1"/>
  <c r="G38" i="1" s="1"/>
  <c r="E38" i="1" a="1"/>
  <c r="E38" i="1" s="1"/>
  <c r="D38" i="1" a="1"/>
  <c r="D38" i="1" s="1"/>
  <c r="C38" i="1" a="1"/>
  <c r="C38" i="1" s="1"/>
  <c r="B38" i="1"/>
  <c r="F38" i="1" a="1"/>
  <c r="F38" i="1" s="1"/>
  <c r="F18" i="1" a="1"/>
  <c r="F18" i="1" s="1"/>
  <c r="C18" i="1" a="1"/>
  <c r="C18" i="1" s="1"/>
  <c r="E18" i="1" a="1"/>
  <c r="E18" i="1" s="1"/>
  <c r="B18" i="1"/>
  <c r="D18" i="1" a="1"/>
  <c r="D18" i="1" s="1"/>
  <c r="G18" i="1" a="1"/>
  <c r="G18" i="1" s="1"/>
  <c r="F37" i="1" a="1"/>
  <c r="F37" i="1" s="1"/>
  <c r="C37" i="1" a="1"/>
  <c r="C37" i="1" s="1"/>
  <c r="E37" i="1" a="1"/>
  <c r="E37" i="1" s="1"/>
  <c r="D37" i="1" a="1"/>
  <c r="D37" i="1" s="1"/>
  <c r="G37" i="1" a="1"/>
  <c r="G37" i="1" s="1"/>
  <c r="B37" i="1"/>
  <c r="G34" i="1" a="1"/>
  <c r="G34" i="1" s="1"/>
  <c r="B34" i="1"/>
  <c r="F34" i="1" a="1"/>
  <c r="F34" i="1" s="1"/>
  <c r="E34" i="1" a="1"/>
  <c r="E34" i="1" s="1"/>
  <c r="D34" i="1" a="1"/>
  <c r="D34" i="1" s="1"/>
  <c r="C34" i="1" a="1"/>
  <c r="C34" i="1" s="1"/>
  <c r="C25" i="1" a="1"/>
  <c r="C25" i="1" s="1"/>
  <c r="B25" i="1"/>
  <c r="G25" i="1" a="1"/>
  <c r="G25" i="1" s="1"/>
  <c r="F25" i="1" a="1"/>
  <c r="F25" i="1" s="1"/>
  <c r="D25" i="1" a="1"/>
  <c r="D25" i="1" s="1"/>
  <c r="E25" i="1" a="1"/>
  <c r="E25" i="1" s="1"/>
  <c r="B15" i="1"/>
  <c r="G15" i="1" a="1"/>
  <c r="G15" i="1" s="1"/>
  <c r="F15" i="1" a="1"/>
  <c r="F15" i="1" s="1"/>
  <c r="C15" i="1" a="1"/>
  <c r="C15" i="1" s="1"/>
  <c r="E15" i="1" a="1"/>
  <c r="E15" i="1" s="1"/>
  <c r="D15" i="1" a="1"/>
  <c r="D15" i="1" s="1"/>
  <c r="G58" i="1" a="1"/>
  <c r="G58" i="1" s="1"/>
  <c r="C58" i="1" a="1"/>
  <c r="C58" i="1" s="1"/>
  <c r="F58" i="1" a="1"/>
  <c r="F58" i="1" s="1"/>
  <c r="D58" i="1" a="1"/>
  <c r="D58" i="1" s="1"/>
  <c r="B58" i="1"/>
  <c r="E58" i="1" a="1"/>
  <c r="E58" i="1" s="1"/>
  <c r="F41" i="1" a="1"/>
  <c r="F41" i="1" s="1"/>
  <c r="C41" i="1" a="1"/>
  <c r="C41" i="1" s="1"/>
  <c r="B41" i="1"/>
  <c r="G41" i="1" a="1"/>
  <c r="G41" i="1" s="1"/>
  <c r="E41" i="1" a="1"/>
  <c r="E41" i="1" s="1"/>
  <c r="D41" i="1" a="1"/>
  <c r="D41" i="1" s="1"/>
  <c r="E64" i="1" a="1"/>
  <c r="E64" i="1" s="1"/>
  <c r="B64" i="1"/>
  <c r="G64" i="1" a="1"/>
  <c r="G64" i="1" s="1"/>
  <c r="F64" i="1" a="1"/>
  <c r="F64" i="1" s="1"/>
  <c r="D64" i="1" a="1"/>
  <c r="D64" i="1" s="1"/>
  <c r="C64" i="1" a="1"/>
  <c r="C64" i="1" s="1"/>
  <c r="G19" i="1" a="1"/>
  <c r="G19" i="1" s="1"/>
  <c r="E19" i="1" a="1"/>
  <c r="E19" i="1" s="1"/>
  <c r="F19" i="1" a="1"/>
  <c r="F19" i="1" s="1"/>
  <c r="C19" i="1" a="1"/>
  <c r="C19" i="1" s="1"/>
  <c r="B19" i="1"/>
  <c r="D19" i="1" a="1"/>
  <c r="D19" i="1" s="1"/>
  <c r="E36" i="1" a="1"/>
  <c r="E36" i="1" s="1"/>
  <c r="B36" i="1"/>
  <c r="F36" i="1" a="1"/>
  <c r="F36" i="1" s="1"/>
  <c r="D36" i="1" a="1"/>
  <c r="D36" i="1" s="1"/>
  <c r="G36" i="1" a="1"/>
  <c r="G36" i="1" s="1"/>
  <c r="C36" i="1" a="1"/>
  <c r="C36" i="1" s="1"/>
  <c r="G50" i="1" a="1"/>
  <c r="G50" i="1" s="1"/>
  <c r="B50" i="1"/>
  <c r="F50" i="1" a="1"/>
  <c r="F50" i="1" s="1"/>
  <c r="E50" i="1" a="1"/>
  <c r="E50" i="1" s="1"/>
  <c r="C50" i="1" a="1"/>
  <c r="C50" i="1" s="1"/>
  <c r="D50" i="1" a="1"/>
  <c r="D50" i="1" s="1"/>
  <c r="G42" i="1" a="1"/>
  <c r="G42" i="1" s="1"/>
  <c r="C42" i="1" a="1"/>
  <c r="C42" i="1" s="1"/>
  <c r="B42" i="1"/>
  <c r="F42" i="1" a="1"/>
  <c r="F42" i="1" s="1"/>
  <c r="E42" i="1" a="1"/>
  <c r="E42" i="1" s="1"/>
  <c r="D42" i="1" a="1"/>
  <c r="D42" i="1" s="1"/>
  <c r="F57" i="1" a="1"/>
  <c r="F57" i="1" s="1"/>
  <c r="C57" i="1" a="1"/>
  <c r="C57" i="1" s="1"/>
  <c r="D57" i="1" a="1"/>
  <c r="D57" i="1" s="1"/>
  <c r="G57" i="1" a="1"/>
  <c r="G57" i="1" s="1"/>
  <c r="B57" i="1"/>
  <c r="E57" i="1" a="1"/>
  <c r="E57" i="1" s="1"/>
  <c r="D16" i="1" a="1"/>
  <c r="D16" i="1" s="1"/>
  <c r="C16" i="1" a="1"/>
  <c r="C16" i="1" s="1"/>
  <c r="G16" i="1" a="1"/>
  <c r="G16" i="1" s="1"/>
  <c r="F16" i="1" a="1"/>
  <c r="F16" i="1" s="1"/>
  <c r="E16" i="1" a="1"/>
  <c r="E16" i="1" s="1"/>
  <c r="B16" i="1"/>
  <c r="F30" i="1" a="1"/>
  <c r="F30" i="1" s="1"/>
  <c r="E30" i="1" a="1"/>
  <c r="E30" i="1" s="1"/>
  <c r="D30" i="1" a="1"/>
  <c r="D30" i="1" s="1"/>
  <c r="G30" i="1" a="1"/>
  <c r="G30" i="1" s="1"/>
  <c r="C30" i="1" a="1"/>
  <c r="C30" i="1" s="1"/>
  <c r="B30" i="1"/>
  <c r="D28" i="1" a="1"/>
  <c r="D28" i="1" s="1"/>
  <c r="F28" i="1" a="1"/>
  <c r="F28" i="1" s="1"/>
  <c r="B28" i="1"/>
  <c r="G28" i="1" a="1"/>
  <c r="G28" i="1" s="1"/>
  <c r="C28" i="1" a="1"/>
  <c r="C28" i="1" s="1"/>
  <c r="E28" i="1" a="1"/>
  <c r="E28" i="1" s="1"/>
  <c r="F69" i="1" a="1"/>
  <c r="F69" i="1" s="1"/>
  <c r="C69" i="1" a="1"/>
  <c r="C69" i="1" s="1"/>
  <c r="D69" i="1" a="1"/>
  <c r="D69" i="1" s="1"/>
  <c r="G69" i="1" a="1"/>
  <c r="G69" i="1" s="1"/>
  <c r="E69" i="1" a="1"/>
  <c r="E69" i="1" s="1"/>
  <c r="B69" i="1"/>
  <c r="G74" i="1" a="1"/>
  <c r="G74" i="1" s="1"/>
  <c r="B74" i="1"/>
  <c r="D74" i="1" a="1"/>
  <c r="D74" i="1" s="1"/>
  <c r="C74" i="1" a="1"/>
  <c r="C74" i="1" s="1"/>
  <c r="F74" i="1" a="1"/>
  <c r="F74" i="1" s="1"/>
  <c r="E74" i="1" a="1"/>
  <c r="E74" i="1" s="1"/>
  <c r="D55" i="1" a="1"/>
  <c r="D55" i="1" s="1"/>
  <c r="E55" i="1" a="1"/>
  <c r="E55" i="1" s="1"/>
  <c r="G55" i="1" a="1"/>
  <c r="G55" i="1" s="1"/>
  <c r="C55" i="1" a="1"/>
  <c r="C55" i="1" s="1"/>
  <c r="B55" i="1"/>
  <c r="F55" i="1" a="1"/>
  <c r="F55" i="1" s="1"/>
  <c r="F61" i="1" a="1"/>
  <c r="F61" i="1" s="1"/>
  <c r="C61" i="1" a="1"/>
  <c r="C61" i="1" s="1"/>
  <c r="D61" i="1" a="1"/>
  <c r="D61" i="1" s="1"/>
  <c r="E61" i="1" a="1"/>
  <c r="E61" i="1" s="1"/>
  <c r="B61" i="1"/>
  <c r="G61" i="1" a="1"/>
  <c r="G61" i="1" s="1"/>
  <c r="C29" i="1" a="1"/>
  <c r="C29" i="1" s="1"/>
  <c r="G29" i="1" a="1"/>
  <c r="G29" i="1" s="1"/>
  <c r="F29" i="1" a="1"/>
  <c r="F29" i="1" s="1"/>
  <c r="B29" i="1"/>
  <c r="E29" i="1" a="1"/>
  <c r="E29" i="1" s="1"/>
  <c r="D29" i="1" a="1"/>
  <c r="D29" i="1" s="1"/>
  <c r="E40" i="1" a="1"/>
  <c r="E40" i="1" s="1"/>
  <c r="B40" i="1"/>
  <c r="D40" i="1" a="1"/>
  <c r="D40" i="1" s="1"/>
  <c r="G40" i="1" a="1"/>
  <c r="G40" i="1" s="1"/>
  <c r="C40" i="1" a="1"/>
  <c r="C40" i="1" s="1"/>
  <c r="F40" i="1" a="1"/>
  <c r="F40" i="1" s="1"/>
  <c r="D63" i="1" a="1"/>
  <c r="D63" i="1" s="1"/>
  <c r="E63" i="1" a="1"/>
  <c r="E63" i="1" s="1"/>
  <c r="F63" i="1" a="1"/>
  <c r="F63" i="1" s="1"/>
  <c r="G63" i="1" a="1"/>
  <c r="G63" i="1" s="1"/>
  <c r="C63" i="1" a="1"/>
  <c r="C63" i="1" s="1"/>
  <c r="B63" i="1"/>
  <c r="E52" i="1" a="1"/>
  <c r="E52" i="1" s="1"/>
  <c r="B52" i="1"/>
  <c r="G52" i="1" a="1"/>
  <c r="G52" i="1" s="1"/>
  <c r="C52" i="1" a="1"/>
  <c r="C52" i="1" s="1"/>
  <c r="F52" i="1" a="1"/>
  <c r="F52" i="1" s="1"/>
  <c r="D52" i="1" a="1"/>
  <c r="D52" i="1" s="1"/>
  <c r="E68" i="1" a="1"/>
  <c r="E68" i="1" s="1"/>
  <c r="B68" i="1"/>
  <c r="C68" i="1" a="1"/>
  <c r="C68" i="1" s="1"/>
  <c r="G68" i="1" a="1"/>
  <c r="G68" i="1" s="1"/>
  <c r="F68" i="1" a="1"/>
  <c r="F68" i="1" s="1"/>
  <c r="D68" i="1" a="1"/>
  <c r="D68" i="1" s="1"/>
  <c r="G70" i="1" a="1"/>
  <c r="G70" i="1" s="1"/>
  <c r="F70" i="1" a="1"/>
  <c r="F70" i="1" s="1"/>
  <c r="E70" i="1" a="1"/>
  <c r="E70" i="1" s="1"/>
  <c r="D70" i="1" a="1"/>
  <c r="D70" i="1" s="1"/>
  <c r="C70" i="1" a="1"/>
  <c r="C70" i="1" s="1"/>
  <c r="B70" i="1"/>
  <c r="D31" i="1" a="1"/>
  <c r="D31" i="1" s="1"/>
  <c r="F31" i="1" a="1"/>
  <c r="F31" i="1" s="1"/>
  <c r="G31" i="1" a="1"/>
  <c r="G31" i="1" s="1"/>
  <c r="C31" i="1" a="1"/>
  <c r="C31" i="1" s="1"/>
  <c r="B31" i="1"/>
  <c r="E31" i="1" a="1"/>
  <c r="E31" i="1" s="1"/>
  <c r="F73" i="1" a="1"/>
  <c r="F73" i="1" s="1"/>
  <c r="C73" i="1" a="1"/>
  <c r="C73" i="1" s="1"/>
  <c r="G73" i="1" a="1"/>
  <c r="G73" i="1" s="1"/>
  <c r="B73" i="1"/>
  <c r="D73" i="1" a="1"/>
  <c r="D73" i="1" s="1"/>
  <c r="E73" i="1" a="1"/>
  <c r="E73" i="1" s="1"/>
  <c r="F33" i="1" a="1"/>
  <c r="F33" i="1" s="1"/>
  <c r="C33" i="1" a="1"/>
  <c r="C33" i="1" s="1"/>
  <c r="B33" i="1"/>
  <c r="G33" i="1" a="1"/>
  <c r="G33" i="1" s="1"/>
  <c r="D33" i="1" a="1"/>
  <c r="D33" i="1" s="1"/>
  <c r="E33" i="1" a="1"/>
  <c r="E33" i="1" s="1"/>
  <c r="F45" i="1" a="1"/>
  <c r="F45" i="1" s="1"/>
  <c r="C45" i="1" a="1"/>
  <c r="C45" i="1" s="1"/>
  <c r="B45" i="1"/>
  <c r="G45" i="1" a="1"/>
  <c r="G45" i="1" s="1"/>
  <c r="D45" i="1" a="1"/>
  <c r="D45" i="1" s="1"/>
  <c r="E45" i="1" a="1"/>
  <c r="E45" i="1" s="1"/>
  <c r="E44" i="1" a="1"/>
  <c r="E44" i="1" s="1"/>
  <c r="B44" i="1"/>
  <c r="C44" i="1" a="1"/>
  <c r="C44" i="1" s="1"/>
  <c r="G44" i="1" a="1"/>
  <c r="G44" i="1" s="1"/>
  <c r="F44" i="1" a="1"/>
  <c r="F44" i="1" s="1"/>
  <c r="D44" i="1" a="1"/>
  <c r="D44" i="1" s="1"/>
  <c r="F65" i="1" a="1"/>
  <c r="F65" i="1" s="1"/>
  <c r="C65" i="1" a="1"/>
  <c r="C65" i="1" s="1"/>
  <c r="B65" i="1"/>
  <c r="E65" i="1" a="1"/>
  <c r="E65" i="1" s="1"/>
  <c r="G65" i="1" a="1"/>
  <c r="G65" i="1" s="1"/>
  <c r="D65" i="1" a="1"/>
  <c r="D65" i="1" s="1"/>
  <c r="G54" i="1" a="1"/>
  <c r="G54" i="1" s="1"/>
  <c r="C54" i="1" a="1"/>
  <c r="C54" i="1" s="1"/>
  <c r="E54" i="1" a="1"/>
  <c r="E54" i="1" s="1"/>
  <c r="B54" i="1"/>
  <c r="F54" i="1" a="1"/>
  <c r="F54" i="1" s="1"/>
  <c r="D54" i="1" a="1"/>
  <c r="D54" i="1" s="1"/>
  <c r="E24" i="1" a="1"/>
  <c r="E24" i="1" s="1"/>
  <c r="C24" i="1" a="1"/>
  <c r="C24" i="1" s="1"/>
  <c r="D24" i="1" a="1"/>
  <c r="D24" i="1" s="1"/>
  <c r="G24" i="1" a="1"/>
  <c r="G24" i="1" s="1"/>
  <c r="F24" i="1" a="1"/>
  <c r="F24" i="1" s="1"/>
  <c r="B24" i="1"/>
  <c r="D20" i="1" a="1"/>
  <c r="D20" i="1" s="1"/>
  <c r="C20" i="1" a="1"/>
  <c r="C20" i="1" s="1"/>
  <c r="G20" i="1" a="1"/>
  <c r="G20" i="1" s="1"/>
  <c r="F20" i="1" a="1"/>
  <c r="F20" i="1" s="1"/>
  <c r="B20" i="1"/>
  <c r="E20" i="1" a="1"/>
  <c r="E20" i="1" s="1"/>
  <c r="F21" i="1" a="1"/>
  <c r="F21" i="1" s="1"/>
  <c r="B21" i="1"/>
  <c r="E21" i="1" a="1"/>
  <c r="E21" i="1" s="1"/>
  <c r="D21" i="1" a="1"/>
  <c r="D21" i="1" s="1"/>
  <c r="G21" i="1" a="1"/>
  <c r="G21" i="1" s="1"/>
  <c r="C21" i="1" a="1"/>
  <c r="C21" i="1" s="1"/>
  <c r="E60" i="1" a="1"/>
  <c r="E60" i="1" s="1"/>
  <c r="B60" i="1"/>
  <c r="C60" i="1" a="1"/>
  <c r="C60" i="1" s="1"/>
  <c r="F60" i="1" a="1"/>
  <c r="F60" i="1" s="1"/>
  <c r="D60" i="1" a="1"/>
  <c r="D60" i="1" s="1"/>
  <c r="G60" i="1" a="1"/>
  <c r="G60" i="1" s="1"/>
  <c r="D39" i="1" a="1"/>
  <c r="D39" i="1" s="1"/>
  <c r="E39" i="1" a="1"/>
  <c r="E39" i="1" s="1"/>
  <c r="B39" i="1"/>
  <c r="C39" i="1" a="1"/>
  <c r="C39" i="1" s="1"/>
  <c r="G39" i="1" a="1"/>
  <c r="G39" i="1" s="1"/>
  <c r="F39" i="1" a="1"/>
  <c r="F39" i="1" s="1"/>
  <c r="E27" i="1" a="1"/>
  <c r="E27" i="1" s="1"/>
  <c r="C27" i="1" a="1"/>
  <c r="C27" i="1" s="1"/>
  <c r="D27" i="1" a="1"/>
  <c r="D27" i="1" s="1"/>
  <c r="G27" i="1" a="1"/>
  <c r="G27" i="1" s="1"/>
  <c r="F27" i="1" a="1"/>
  <c r="F27" i="1" s="1"/>
  <c r="B27" i="1"/>
  <c r="D43" i="1" a="1"/>
  <c r="D43" i="1" s="1"/>
  <c r="C43" i="1" a="1"/>
  <c r="C43" i="1" s="1"/>
  <c r="G43" i="1" a="1"/>
  <c r="G43" i="1" s="1"/>
  <c r="B43" i="1"/>
  <c r="F43" i="1" a="1"/>
  <c r="F43" i="1" s="1"/>
  <c r="E43" i="1" a="1"/>
  <c r="E43" i="1" s="1"/>
  <c r="G46" i="1" a="1"/>
  <c r="G46" i="1" s="1"/>
  <c r="D46" i="1" a="1"/>
  <c r="D46" i="1" s="1"/>
  <c r="F46" i="1" a="1"/>
  <c r="F46" i="1" s="1"/>
  <c r="E46" i="1" a="1"/>
  <c r="E46" i="1" s="1"/>
  <c r="B46" i="1"/>
  <c r="C46" i="1" a="1"/>
  <c r="C46" i="1" s="1"/>
  <c r="D51" i="1" a="1"/>
  <c r="D51" i="1" s="1"/>
  <c r="B51" i="1"/>
  <c r="E51" i="1" a="1"/>
  <c r="E51" i="1" s="1"/>
  <c r="C51" i="1" a="1"/>
  <c r="C51" i="1" s="1"/>
  <c r="G51" i="1" a="1"/>
  <c r="G51" i="1" s="1"/>
  <c r="F51" i="1" a="1"/>
  <c r="F51" i="1" s="1"/>
  <c r="E22" i="1" a="1"/>
  <c r="E22" i="1" s="1"/>
  <c r="G22" i="1" a="1"/>
  <c r="G22" i="1" s="1"/>
  <c r="F22" i="1" a="1"/>
  <c r="F22" i="1" s="1"/>
  <c r="B22" i="1"/>
  <c r="C22" i="1" a="1"/>
  <c r="C22" i="1" s="1"/>
  <c r="D22" i="1" a="1"/>
  <c r="D22" i="1" s="1"/>
  <c r="D67" i="1" a="1"/>
  <c r="D67" i="1" s="1"/>
  <c r="G67" i="1" a="1"/>
  <c r="G67" i="1" s="1"/>
  <c r="B67" i="1"/>
  <c r="F67" i="1" a="1"/>
  <c r="F67" i="1" s="1"/>
  <c r="E67" i="1" a="1"/>
  <c r="E67" i="1" s="1"/>
  <c r="C67" i="1" a="1"/>
  <c r="C67" i="1" s="1"/>
  <c r="E72" i="1" a="1"/>
  <c r="E72" i="1" s="1"/>
  <c r="B72" i="1"/>
  <c r="F72" i="1" a="1"/>
  <c r="F72" i="1" s="1"/>
  <c r="D72" i="1" a="1"/>
  <c r="D72" i="1" s="1"/>
  <c r="G72" i="1" a="1"/>
  <c r="G72" i="1" s="1"/>
  <c r="C72" i="1" a="1"/>
  <c r="C72" i="1" s="1"/>
  <c r="D71" i="1" a="1"/>
  <c r="D71" i="1" s="1"/>
  <c r="G71" i="1" a="1"/>
  <c r="G71" i="1" s="1"/>
  <c r="C71" i="1" a="1"/>
  <c r="C71" i="1" s="1"/>
  <c r="E71" i="1" a="1"/>
  <c r="E71" i="1" s="1"/>
  <c r="F71" i="1" a="1"/>
  <c r="F71" i="1" s="1"/>
  <c r="B71" i="1"/>
  <c r="G23" i="1" a="1"/>
  <c r="G23" i="1" s="1"/>
  <c r="F23" i="1" a="1"/>
  <c r="F23" i="1" s="1"/>
  <c r="B23" i="1"/>
  <c r="E23" i="1" a="1"/>
  <c r="E23" i="1" s="1"/>
  <c r="D23" i="1" a="1"/>
  <c r="D23" i="1" s="1"/>
  <c r="C23" i="1" a="1"/>
  <c r="C23" i="1" s="1"/>
  <c r="D35" i="1" a="1"/>
  <c r="D35" i="1" s="1"/>
  <c r="G35" i="1" a="1"/>
  <c r="G35" i="1" s="1"/>
  <c r="B35" i="1"/>
  <c r="F35" i="1" a="1"/>
  <c r="F35" i="1" s="1"/>
  <c r="E35" i="1" a="1"/>
  <c r="E35" i="1" s="1"/>
  <c r="C35" i="1" a="1"/>
  <c r="C35" i="1" s="1"/>
  <c r="E56" i="1" a="1"/>
  <c r="E56" i="1" s="1"/>
  <c r="B56" i="1"/>
  <c r="G56" i="1" a="1"/>
  <c r="G56" i="1" s="1"/>
  <c r="C56" i="1" a="1"/>
  <c r="C56" i="1" s="1"/>
  <c r="F56" i="1" a="1"/>
  <c r="F56" i="1" s="1"/>
  <c r="D56" i="1" a="1"/>
  <c r="D56" i="1" s="1"/>
  <c r="E17" i="1" a="1"/>
  <c r="E17" i="1" s="1"/>
  <c r="B17" i="1"/>
  <c r="D17" i="1" a="1"/>
  <c r="D17" i="1" s="1"/>
  <c r="G17" i="1" a="1"/>
  <c r="G17" i="1" s="1"/>
  <c r="F17" i="1" a="1"/>
  <c r="F17" i="1" s="1"/>
  <c r="C17" i="1" a="1"/>
  <c r="C17" i="1" s="1"/>
  <c r="F49" i="1" a="1"/>
  <c r="F49" i="1" s="1"/>
  <c r="C49" i="1" a="1"/>
  <c r="C49" i="1" s="1"/>
  <c r="B49" i="1"/>
  <c r="E49" i="1" a="1"/>
  <c r="E49" i="1" s="1"/>
  <c r="D49" i="1" a="1"/>
  <c r="D49" i="1" s="1"/>
  <c r="G49" i="1" a="1"/>
  <c r="G49" i="1" s="1"/>
  <c r="D47" i="1" a="1"/>
  <c r="D47" i="1" s="1"/>
  <c r="F47" i="1" a="1"/>
  <c r="F47" i="1" s="1"/>
  <c r="B47" i="1"/>
  <c r="G47" i="1" a="1"/>
  <c r="G47" i="1" s="1"/>
  <c r="E47" i="1" a="1"/>
  <c r="E47" i="1" s="1"/>
  <c r="C47" i="1" a="1"/>
  <c r="C47" i="1" s="1"/>
  <c r="F53" i="1" a="1"/>
  <c r="F53" i="1" s="1"/>
  <c r="C53" i="1" a="1"/>
  <c r="C53" i="1" s="1"/>
  <c r="E53" i="1" a="1"/>
  <c r="E53" i="1" s="1"/>
  <c r="B53" i="1"/>
  <c r="G53" i="1" a="1"/>
  <c r="G53" i="1" s="1"/>
  <c r="D53" i="1" a="1"/>
  <c r="D53" i="1" s="1"/>
  <c r="G26" i="1" a="1"/>
  <c r="G26" i="1" s="1"/>
  <c r="C26" i="1" a="1"/>
  <c r="C26" i="1" s="1"/>
  <c r="B26" i="1"/>
  <c r="F26" i="1" a="1"/>
  <c r="F26" i="1" s="1"/>
  <c r="E26" i="1" a="1"/>
  <c r="E26" i="1" s="1"/>
  <c r="D26" i="1" a="1"/>
  <c r="D26" i="1" s="1"/>
  <c r="G62" i="1" a="1"/>
  <c r="G62" i="1" s="1"/>
  <c r="F62" i="1" a="1"/>
  <c r="F62" i="1" s="1"/>
  <c r="B62" i="1"/>
  <c r="D62" i="1" a="1"/>
  <c r="D62" i="1" s="1"/>
  <c r="E62" i="1" a="1"/>
  <c r="E62" i="1" s="1"/>
  <c r="C62" i="1" a="1"/>
  <c r="C62" i="1" s="1"/>
</calcChain>
</file>

<file path=xl/sharedStrings.xml><?xml version="1.0" encoding="utf-8"?>
<sst xmlns="http://schemas.openxmlformats.org/spreadsheetml/2006/main" count="553" uniqueCount="209">
  <si>
    <t>RONDOLOG  ×  SANTA CRUZ / ONCOPROD</t>
  </si>
  <si>
    <t>CONTROLE DE CADASTRO E VENCIMENTO DE PRAZOS  —  Operação Rondolog</t>
  </si>
  <si>
    <t>🚗  VEÍCULOS (PLACAS)</t>
  </si>
  <si>
    <t>🧑‍✈️  CONDUTORES (MOTORISTAS)</t>
  </si>
  <si>
    <t>👥  FUNCIONÁRIOS</t>
  </si>
  <si>
    <t>🟥 Vencido   🟧 ≤30 dias   🟨 31–60 dias   🟩 &gt;60 dias      |      🕓 aguardando retorno de solicitação</t>
  </si>
  <si>
    <t xml:space="preserve">  📅  PRÓXIMOS VENCIMENTOS  (registros com TEM PERFIL, ordenados por data)</t>
  </si>
  <si>
    <t>Nº</t>
  </si>
  <si>
    <t>TIPO</t>
  </si>
  <si>
    <t>NOME</t>
  </si>
  <si>
    <t>STATUS</t>
  </si>
  <si>
    <t>DATA VENCIMENTO</t>
  </si>
  <si>
    <t>DIAS P/ VENCER</t>
  </si>
  <si>
    <t>🚗  VEÍCULOS  —  Controle de Placas</t>
  </si>
  <si>
    <t xml:space="preserve">  ✅ TEM PERFIL = cadastro ativo     ❌ NÃO TEM PERFIL = pendente de cadastro     ⚠️ Sem data = prazo não definido</t>
  </si>
  <si>
    <t>PLACA</t>
  </si>
  <si>
    <t>VENCIMENTO</t>
  </si>
  <si>
    <t>OBSERVAÇÕES</t>
  </si>
  <si>
    <t>BRY3E66</t>
  </si>
  <si>
    <t>NÃO TEM PERFIL</t>
  </si>
  <si>
    <t>PXQ8F08</t>
  </si>
  <si>
    <t>SEM9A77</t>
  </si>
  <si>
    <t>STR9F35</t>
  </si>
  <si>
    <t>SWF4H15</t>
  </si>
  <si>
    <t>TEM PERFIL</t>
  </si>
  <si>
    <t>03/02/2027</t>
  </si>
  <si>
    <t>SWU3H66</t>
  </si>
  <si>
    <t>16/02/2027</t>
  </si>
  <si>
    <t>FUL6A21</t>
  </si>
  <si>
    <t>26/02/2027</t>
  </si>
  <si>
    <t>FXI4A14</t>
  </si>
  <si>
    <t>04/08/2027</t>
  </si>
  <si>
    <t>QSX1J75</t>
  </si>
  <si>
    <t>29/01/2027</t>
  </si>
  <si>
    <t>SVK6F53</t>
  </si>
  <si>
    <t>01/10/2027</t>
  </si>
  <si>
    <t>SWH3H91</t>
  </si>
  <si>
    <t>19/09/2026</t>
  </si>
  <si>
    <t>SWJ0H01</t>
  </si>
  <si>
    <t>TJA6H23</t>
  </si>
  <si>
    <t>MSD2923</t>
  </si>
  <si>
    <t>13/01/2027</t>
  </si>
  <si>
    <t>FQMBH72</t>
  </si>
  <si>
    <t>12/01/2027</t>
  </si>
  <si>
    <t>ORC8G70</t>
  </si>
  <si>
    <t>09/02/2027</t>
  </si>
  <si>
    <t>SWN5C43</t>
  </si>
  <si>
    <t>28/01/2027</t>
  </si>
  <si>
    <t>STU7G01</t>
  </si>
  <si>
    <t>SUJ5G29</t>
  </si>
  <si>
    <t>DOCUMENTO VENCIDO</t>
  </si>
  <si>
    <t>FPI3H41</t>
  </si>
  <si>
    <t>IYX5I53</t>
  </si>
  <si>
    <t>OVT6J59</t>
  </si>
  <si>
    <t>PPL4B01</t>
  </si>
  <si>
    <t>GDS7F11</t>
  </si>
  <si>
    <t>01/03/2027</t>
  </si>
  <si>
    <t>ECW0E38</t>
  </si>
  <si>
    <t>SWB1D01</t>
  </si>
  <si>
    <t>06/02/2027</t>
  </si>
  <si>
    <t>RNF6A66</t>
  </si>
  <si>
    <t>19/02/2027</t>
  </si>
  <si>
    <t>SVZ9G23</t>
  </si>
  <si>
    <t>🧑‍✈️  CONDUTORES  —  Controle de Motoristas</t>
  </si>
  <si>
    <t>NOME COMPLETO</t>
  </si>
  <si>
    <t>ADONIS DA SILVA OLIVEIRA</t>
  </si>
  <si>
    <t>AILTON DA SILVA FERREIRA</t>
  </si>
  <si>
    <t>ALEXSANDRO SANTOS ARAUJO</t>
  </si>
  <si>
    <t>04/03/2027</t>
  </si>
  <si>
    <t>ANTONIO CARLOS DOS SANTOS XAVIER</t>
  </si>
  <si>
    <t>14/01/2027</t>
  </si>
  <si>
    <t>Retorno oficial recebido em 16/07/2026 - CPF confirmado correto</t>
  </si>
  <si>
    <t>BRAYNO AFONSECA DA SILVA</t>
  </si>
  <si>
    <t>BRENNER FONSECA DO SERRO</t>
  </si>
  <si>
    <t>17/12/2026</t>
  </si>
  <si>
    <t>BRUNO GONCALVES EVANGELISTA</t>
  </si>
  <si>
    <t>16/12/2026</t>
  </si>
  <si>
    <t>CARLOS AUGUSTO DE CARVALHO JUNIOR</t>
  </si>
  <si>
    <t>29/12/2026</t>
  </si>
  <si>
    <t>Base: Betim (MG). Retorno recebido em 06/07/2026</t>
  </si>
  <si>
    <t>CASSIO SILVA DE JESUS</t>
  </si>
  <si>
    <t>05/01/2027</t>
  </si>
  <si>
    <t>Retorno da solicitacao recebido em 08/07/2026</t>
  </si>
  <si>
    <t>DIEGO PEREIRA ALEXANDRE</t>
  </si>
  <si>
    <t>FABIANO CORREIA DA SILVA</t>
  </si>
  <si>
    <t>13/04/2027</t>
  </si>
  <si>
    <t>FABIANO GOMES DOS SANTOS</t>
  </si>
  <si>
    <t>02/01/2027</t>
  </si>
  <si>
    <t>FERNANDO FELIX CYPRESTE</t>
  </si>
  <si>
    <t>GABRIEL DE FREITAS MIRANDA SILVA</t>
  </si>
  <si>
    <t>HEBER AUGUSTO BARBOSA DE SOUZA</t>
  </si>
  <si>
    <t>IGOR GOMES BENTO</t>
  </si>
  <si>
    <t>11/08/2026</t>
  </si>
  <si>
    <t>JORGE LUIZ DA SILVA PINTO</t>
  </si>
  <si>
    <t>Base: RJ. Solicitação enviada em 06/07/2026/Não tem perfil</t>
  </si>
  <si>
    <t>JORGE LUIZ DOS SANTOS</t>
  </si>
  <si>
    <t>DADOS DIVERGENTES</t>
  </si>
  <si>
    <t>Consulta de 16/07/2026 retornou este CPF associado ao nome ANTONIO CARLOS DOS SANTOS XAVIER - verificar CPF correto antes de liberar</t>
  </si>
  <si>
    <t>JOSÉ ROBERTO DA SILVA</t>
  </si>
  <si>
    <t>LUCAS ALBERTO REIS</t>
  </si>
  <si>
    <t>Retorno da solicitação recebido em 06/07/2026 - não tem perfil</t>
  </si>
  <si>
    <t>LUIZ HENRIQUE ASSIS DA SILVA</t>
  </si>
  <si>
    <t>MAICON DOS SANTOS ALVES</t>
  </si>
  <si>
    <t>Retorno recebido em 16/07/2026</t>
  </si>
  <si>
    <t>MARCELO OLIVEIRA DOS SANTOS</t>
  </si>
  <si>
    <t>04/04/2027</t>
  </si>
  <si>
    <t>MARCIO EDUARDO DE LIMA ALVES</t>
  </si>
  <si>
    <t>MIKE MENDES DOS SANTOS RODRIGUES</t>
  </si>
  <si>
    <t>OSCAR JOSE RODRIGUES FERREIRA</t>
  </si>
  <si>
    <t>PATRICK PASCHOAL PALHANO</t>
  </si>
  <si>
    <t>PAULO RICARDO DE OLIVEIRA SILVA</t>
  </si>
  <si>
    <t>18/08/2027</t>
  </si>
  <si>
    <t>PEDRO SOUZA FILHO</t>
  </si>
  <si>
    <t>PHILIPPE GERMANO MAGALHAES DE SOUZA</t>
  </si>
  <si>
    <t>RODNEY DIONIZIO DOS SANTOS MELO</t>
  </si>
  <si>
    <t>STANLEY JUNIO LIMA NOVAIS</t>
  </si>
  <si>
    <t>19/10/2026</t>
  </si>
  <si>
    <t>THIAGO CESAR DA SILVA SOARES</t>
  </si>
  <si>
    <t>17/02/2027</t>
  </si>
  <si>
    <t>THIAGO HERCULANO DE CARVALHO MAGALHAES</t>
  </si>
  <si>
    <t>10/09/2026</t>
  </si>
  <si>
    <t>UDIRLEI BATISTA COSTA</t>
  </si>
  <si>
    <t>VALDO SANTOS DA SILVA</t>
  </si>
  <si>
    <t>29/07/2026</t>
  </si>
  <si>
    <t>WAGNER VAZ DA SILVA</t>
  </si>
  <si>
    <t>WALLAS ARAUJO MOTA</t>
  </si>
  <si>
    <t>WESLEY BARTUCCIOTTO RODRIGUES</t>
  </si>
  <si>
    <t>WILSON BRUNO ALVES SOUZA</t>
  </si>
  <si>
    <t>Base: Serra (ES)</t>
  </si>
  <si>
    <t>ADILSON DA SILVA MEIRELLES JUNIOR</t>
  </si>
  <si>
    <t>Retorno oficial recebido em 16/07/2026</t>
  </si>
  <si>
    <t>EVANERIO FONTES LUZ</t>
  </si>
  <si>
    <t>MARCOS PAULO CARVALHO DE OLIVEIRA</t>
  </si>
  <si>
    <t>MARCIO ANTONIO DA SILVA</t>
  </si>
  <si>
    <t>RAPHAEL MACHADO DA SILVA</t>
  </si>
  <si>
    <t>Situação resolvida - retorno oficial de 16/07/2026 confirma perfil ativo</t>
  </si>
  <si>
    <t>LUIS CARLOS NOUSO</t>
  </si>
  <si>
    <t>09/01/2027</t>
  </si>
  <si>
    <t>Base: DF. Retorno recebido em 16/07/2026</t>
  </si>
  <si>
    <t>ANDERSON DA CONCEIÇAO SIQUEIRA</t>
  </si>
  <si>
    <t>MARLLON BRANDON AZEVEDO</t>
  </si>
  <si>
    <t>TIAGO DA SILVA SALGADO</t>
  </si>
  <si>
    <t>LUCAS RANGEL SAMUEL</t>
  </si>
  <si>
    <t>ELMIRO GALDINO DE MELLO</t>
  </si>
  <si>
    <t>EVANILDO MANOEL DE FARIAS</t>
  </si>
  <si>
    <t>WILLIAN GONCALVES VIEIRA</t>
  </si>
  <si>
    <t>ALEX HOMERO DA SILVA</t>
  </si>
  <si>
    <t>CARLOS HENRIQUE DE OLIVEIRA REIS</t>
  </si>
  <si>
    <t>FRANKLIN DE AZEVEDO RIBEIRO</t>
  </si>
  <si>
    <t>15/01/2027</t>
  </si>
  <si>
    <t>JORGE LUIZ SANTOS DA SILVA</t>
  </si>
  <si>
    <t>AGUARDANDO RETORNO</t>
  </si>
  <si>
    <t>Atualização de cadastro solicitada em 16/07/2026</t>
  </si>
  <si>
    <t>MANOEL MESSIAS SANTANA DA SILVA</t>
  </si>
  <si>
    <t>ALEX GUSTAVO ALVES RODRIGUES</t>
  </si>
  <si>
    <t>Retorno de 16/07/2026 veio com CPF 017.673.336-17 (mesmo CPF do Victor Gomes Catta Preta) e status NÃO TEM PERFIL - possível erro de CPF na solicitação original, conferir documento antes de reenviar</t>
  </si>
  <si>
    <t>VICTOR GOMES CATTA PRETA</t>
  </si>
  <si>
    <t>GLEDSON PEREIRA FRANCISCO</t>
  </si>
  <si>
    <t>AUGUSTO CESAR DA APARECIDA</t>
  </si>
  <si>
    <t>WELTON BATISTA RIBEIRO</t>
  </si>
  <si>
    <t>CLEVERTON DOS SANTOS</t>
  </si>
  <si>
    <t>Retorno oficio recebido em 20/07/2026</t>
  </si>
  <si>
    <t>WESLEY DOS SANTOS SOUZA</t>
  </si>
  <si>
    <t>Retorno oficio recebido em 20/07/2026 | CPF divergente em retorno recente: consulta mostrou 413.064.468-80 - conferir documento antes de considerar alteracao</t>
  </si>
  <si>
    <t>GLEIDSON CALIXTO DO SANTOS</t>
  </si>
  <si>
    <t>LIOBINO XAVIER SOUSA</t>
  </si>
  <si>
    <t>18/02/2027</t>
  </si>
  <si>
    <t>VINICIUS ALVES DE OLIVEIRA</t>
  </si>
  <si>
    <t>20/02/2027</t>
  </si>
  <si>
    <t>BARDY CHARLES FARIA DOS SANTOS</t>
  </si>
  <si>
    <t>10/02/2027</t>
  </si>
  <si>
    <t>ROBSON LUCAS REIS DIAS</t>
  </si>
  <si>
    <t>LEONARDO CRIVELLA</t>
  </si>
  <si>
    <t>ROGERIO VIEIRA DE OLIVEIRA</t>
  </si>
  <si>
    <t>02/02/2027</t>
  </si>
  <si>
    <t>LEANDRO LOPES GUIMARAES</t>
  </si>
  <si>
    <t>VITOR PAULO ZAMBALDI</t>
  </si>
  <si>
    <t>FABIO SALES DE OLIVEIRA</t>
  </si>
  <si>
    <t>WERLY SOUSA DE OLIVEIRA</t>
  </si>
  <si>
    <t>24/12/2026</t>
  </si>
  <si>
    <t>GILBERTO DA SILVA MIGUEL JUNIOR</t>
  </si>
  <si>
    <t>26/01/2027</t>
  </si>
  <si>
    <t>ALISSON SANTOS VELOSO</t>
  </si>
  <si>
    <t>ALEXANDRE AMORIM DE SOUZA</t>
  </si>
  <si>
    <t>19/01/2027</t>
  </si>
  <si>
    <t>JORGE LEONARDO DE AGUIAR NEVES</t>
  </si>
  <si>
    <t>ALUIZIO CANDEIA DOS SANTOS FILHO</t>
  </si>
  <si>
    <t>ANDRE LUIZ BORGES AFFONSO</t>
  </si>
  <si>
    <t>ROMARIO FREITAS GOMES</t>
  </si>
  <si>
    <t>ISRAEL DE ALBUQUERQUE</t>
  </si>
  <si>
    <t>CELIO ROBERTO IDALINO DE SOUZA</t>
  </si>
  <si>
    <t>CPF INVÁLIDO</t>
  </si>
  <si>
    <t>LUCAS PEDRA DA SILVA</t>
  </si>
  <si>
    <t>EDUARDO DOS SANTOS BAITA</t>
  </si>
  <si>
    <t>TIAGO FERREIRA DA SILVA</t>
  </si>
  <si>
    <t>👥  FUNCIONÁRIOS  —  Controle de Colaboradores</t>
  </si>
  <si>
    <t>RAQUEL DA SILVA SOUZA</t>
  </si>
  <si>
    <t>MATHEUS TEIXEIRA MEDEIROS MACHADO</t>
  </si>
  <si>
    <t>RAPHAEL AZEVEDO MAIA</t>
  </si>
  <si>
    <t>MARCIO GEORGE SAMPAIO DE FARIAS</t>
  </si>
  <si>
    <t>ADEIRAN LIMA SANTOS (OUTROS)</t>
  </si>
  <si>
    <t>GUSTAVO RIBEIRO DE MEDEIROS (CONFERENTE)</t>
  </si>
  <si>
    <t>JOAO DOS SANTOS GUIMARAES (OUTROS)</t>
  </si>
  <si>
    <t>CPF_PLACA</t>
  </si>
  <si>
    <t>DIAS</t>
  </si>
  <si>
    <t>SORTKEY</t>
  </si>
  <si>
    <t>Veículo</t>
  </si>
  <si>
    <t>Condutor</t>
  </si>
  <si>
    <t>Funcionário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</si>
</sst>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d/m/yyyy"/>
    <numFmt numFmtId="166" formatCode="yyyy\-mm\-dd\ h:mm:ss"/>
  </numFmts>
  <fonts count="15" x14ac:knownFonts="1">
    <font>
      <sz val="11"/>
      <color theme="1"/>
      <name val="Calibri"/>
      <charset val="1"/>
    </font>
    <font>
      <b/>
      <sz val="18"/>
      <color rgb="FFFFFFFF"/>
      <name val="Segoe UI"/>
      <charset val="1"/>
    </font>
    <font>
      <b/>
      <sz val="11"/>
      <color rgb="FFFFFFFF"/>
      <name val="Segoe UI"/>
      <charset val="1"/>
    </font>
    <font>
      <b/>
      <sz val="20"/>
      <color rgb="FF2F2F2F"/>
      <name val="Segoe UI"/>
      <charset val="1"/>
    </font>
    <font>
      <b/>
      <sz val="12"/>
      <color rgb="FF2E7D32"/>
      <name val="Segoe UI"/>
      <charset val="1"/>
    </font>
    <font>
      <b/>
      <sz val="12"/>
      <color rgb="FF9C6500"/>
      <name val="Segoe UI"/>
      <charset val="1"/>
    </font>
    <font>
      <b/>
      <sz val="12"/>
      <color rgb="FFA53434"/>
      <name val="Segoe UI"/>
      <charset val="1"/>
    </font>
    <font>
      <sz val="10"/>
      <color rgb="FF404040"/>
      <name val="Segoe UI"/>
      <charset val="1"/>
    </font>
    <font>
      <b/>
      <sz val="11"/>
      <color rgb="FFFFFFFF"/>
      <name val="Calibri"/>
      <charset val="1"/>
    </font>
    <font>
      <sz val="9"/>
      <color rgb="FFFFFFFF"/>
      <name val="Segoe UI"/>
      <charset val="1"/>
    </font>
    <font>
      <b/>
      <sz val="10"/>
      <color rgb="FFFFFFFF"/>
      <name val="Calibri"/>
      <charset val="1"/>
    </font>
    <font>
      <sz val="10"/>
      <color rgb="FF000000"/>
      <name val="Calibri"/>
      <charset val="1"/>
    </font>
    <font>
      <b/>
      <sz val="13"/>
      <color rgb="FFFFFFFF"/>
      <name val="Segoe UI"/>
      <charset val="1"/>
    </font>
    <font>
      <sz val="9"/>
      <color rgb="FF404040"/>
      <name val="Segoe UI"/>
      <charset val="1"/>
    </font>
    <font>
      <b/>
      <sz val="10"/>
      <color rgb="FFFFFFFF"/>
      <name val="Segoe UI"/>
      <charset val="1"/>
    </font>
  </fonts>
  <fills count="12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theme="5"/>
        <bgColor rgb="FFCC4125"/>
      </patternFill>
    </fill>
    <fill>
      <patternFill patternType="solid">
        <fgColor rgb="FF2E75B6"/>
        <bgColor rgb="FF0066CC"/>
      </patternFill>
    </fill>
    <fill>
      <patternFill patternType="solid">
        <fgColor rgb="FFF8F9FA"/>
        <bgColor rgb="FFFFFFFF"/>
      </patternFill>
    </fill>
    <fill>
      <patternFill patternType="solid">
        <fgColor rgb="FF5A5A5A"/>
        <bgColor rgb="FF404040"/>
      </patternFill>
    </fill>
    <fill>
      <patternFill patternType="solid">
        <fgColor rgb="FF404040"/>
        <bgColor rgb="FF2F2F2F"/>
      </patternFill>
    </fill>
    <fill>
      <patternFill patternType="solid">
        <fgColor rgb="FFFFFFFF"/>
        <bgColor rgb="FFF8F9FA"/>
      </patternFill>
    </fill>
    <fill>
      <patternFill patternType="solid">
        <fgColor rgb="FFCC4125"/>
        <bgColor rgb="FFC0504D"/>
      </patternFill>
    </fill>
    <fill>
      <patternFill patternType="solid">
        <fgColor rgb="FFF2F2F2"/>
        <bgColor rgb="FFF8F9FA"/>
      </patternFill>
    </fill>
    <fill>
      <patternFill patternType="solid">
        <fgColor rgb="FFE06666"/>
        <bgColor rgb="FFF8696B"/>
      </patternFill>
    </fill>
  </fills>
  <borders count="5">
    <border>
      <left/>
      <right/>
      <top/>
      <bottom/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4" fillId="4" borderId="0" xfId="0" applyFont="1" applyFill="1" applyBorder="1" applyAlignment="1">
      <alignment horizontal="left" vertical="center"/>
    </xf>
    <xf numFmtId="0" fontId="10" fillId="6" borderId="3" xfId="0" applyFont="1" applyFill="1" applyBorder="1" applyAlignment="1">
      <alignment horizontal="left" vertical="center"/>
    </xf>
    <xf numFmtId="0" fontId="2" fillId="2" borderId="0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/>
    <xf numFmtId="0" fontId="1" fillId="2" borderId="0" xfId="0" applyFont="1" applyFill="1" applyAlignment="1">
      <alignment horizontal="center" vertical="center"/>
    </xf>
    <xf numFmtId="0" fontId="0" fillId="3" borderId="0" xfId="0" applyFill="1" applyAlignment="1"/>
    <xf numFmtId="0" fontId="2" fillId="4" borderId="0" xfId="0" applyFont="1" applyFill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10" fillId="0" borderId="3" xfId="0" applyFont="1" applyBorder="1" applyAlignment="1">
      <alignment horizontal="center" vertical="center" wrapText="1"/>
    </xf>
    <xf numFmtId="0" fontId="10" fillId="7" borderId="3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left" vertical="center"/>
    </xf>
    <xf numFmtId="0" fontId="11" fillId="8" borderId="3" xfId="0" applyFont="1" applyFill="1" applyBorder="1" applyAlignment="1">
      <alignment horizontal="center" vertical="center"/>
    </xf>
    <xf numFmtId="0" fontId="11" fillId="8" borderId="3" xfId="0" applyFont="1" applyFill="1" applyBorder="1" applyAlignment="1">
      <alignment horizontal="left" vertical="center"/>
    </xf>
    <xf numFmtId="164" fontId="11" fillId="8" borderId="3" xfId="0" applyNumberFormat="1" applyFont="1" applyFill="1" applyBorder="1" applyAlignment="1">
      <alignment horizontal="center" vertical="center"/>
    </xf>
    <xf numFmtId="0" fontId="0" fillId="0" borderId="4" xfId="0" applyBorder="1" applyAlignment="1"/>
    <xf numFmtId="0" fontId="11" fillId="8" borderId="4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left" vertical="center"/>
    </xf>
    <xf numFmtId="164" fontId="11" fillId="8" borderId="4" xfId="0" applyNumberFormat="1" applyFont="1" applyFill="1" applyBorder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applyFont="1" applyFill="1" applyAlignment="1">
      <alignment horizontal="left" vertical="center"/>
    </xf>
    <xf numFmtId="164" fontId="11" fillId="8" borderId="0" xfId="0" applyNumberFormat="1" applyFont="1" applyFill="1" applyAlignment="1">
      <alignment horizontal="center" vertical="center"/>
    </xf>
    <xf numFmtId="14" fontId="11" fillId="8" borderId="4" xfId="0" applyNumberFormat="1" applyFont="1" applyFill="1" applyBorder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0" fillId="9" borderId="0" xfId="0" applyFill="1" applyAlignment="1"/>
    <xf numFmtId="0" fontId="2" fillId="2" borderId="0" xfId="0" applyFont="1" applyFill="1" applyAlignment="1">
      <alignment horizontal="center" vertical="center"/>
    </xf>
    <xf numFmtId="0" fontId="13" fillId="10" borderId="0" xfId="0" applyFont="1" applyFill="1" applyAlignment="1">
      <alignment horizontal="left" vertical="center"/>
    </xf>
    <xf numFmtId="0" fontId="14" fillId="2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center" vertical="center"/>
    </xf>
    <xf numFmtId="164" fontId="11" fillId="8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46" fontId="0" fillId="0" borderId="0" xfId="0" applyNumberFormat="1" applyAlignment="1"/>
    <xf numFmtId="0" fontId="0" fillId="11" borderId="0" xfId="0" applyFill="1" applyAlignment="1"/>
    <xf numFmtId="0" fontId="11" fillId="8" borderId="2" xfId="0" applyFont="1" applyFill="1" applyBorder="1" applyAlignment="1">
      <alignment horizontal="left" vertical="center"/>
    </xf>
    <xf numFmtId="0" fontId="11" fillId="8" borderId="2" xfId="0" applyFont="1" applyFill="1" applyBorder="1" applyAlignment="1">
      <alignment horizontal="left" vertical="center" wrapText="1"/>
    </xf>
    <xf numFmtId="0" fontId="11" fillId="10" borderId="2" xfId="0" applyFont="1" applyFill="1" applyBorder="1" applyAlignment="1">
      <alignment horizontal="left" vertical="center"/>
    </xf>
    <xf numFmtId="0" fontId="11" fillId="10" borderId="2" xfId="0" applyFont="1" applyFill="1" applyBorder="1" applyAlignment="1">
      <alignment horizontal="left" vertical="center" wrapText="1"/>
    </xf>
    <xf numFmtId="165" fontId="11" fillId="8" borderId="2" xfId="0" applyNumberFormat="1" applyFont="1" applyFill="1" applyBorder="1" applyAlignment="1">
      <alignment horizontal="center" vertical="center"/>
    </xf>
    <xf numFmtId="166" fontId="11" fillId="10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11" fillId="10" borderId="2" xfId="0" applyNumberFormat="1" applyFont="1" applyFill="1" applyBorder="1" applyAlignment="1">
      <alignment horizontal="center" vertical="center"/>
    </xf>
    <xf numFmtId="164" fontId="0" fillId="0" borderId="0" xfId="0" applyNumberFormat="1" applyAlignment="1"/>
    <xf numFmtId="165" fontId="0" fillId="0" borderId="0" xfId="0" applyNumberFormat="1" applyAlignment="1"/>
    <xf numFmtId="166" fontId="0" fillId="0" borderId="0" xfId="0" applyNumberFormat="1" applyAlignment="1"/>
    <xf numFmtId="14" fontId="0" fillId="0" borderId="0" xfId="0" applyNumberFormat="1" applyAlignment="1"/>
  </cellXfs>
  <cellStyles count="1">
    <cellStyle name="Normal" xfId="0" builtinId="0"/>
  </cellStyles>
  <dxfs count="50">
    <dxf>
      <font>
        <color rgb="FF276221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FFFFFF"/>
      </font>
      <fill>
        <patternFill>
          <bgColor rgb="FFFF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CE5CD"/>
        </patternFill>
      </fill>
    </dxf>
    <dxf>
      <fill>
        <patternFill>
          <bgColor rgb="FFF4CCCC"/>
        </patternFill>
      </fill>
    </dxf>
    <dxf>
      <fill>
        <patternFill>
          <bgColor rgb="FFFFEB84"/>
        </patternFill>
      </fill>
    </dxf>
    <dxf>
      <fill>
        <patternFill>
          <bgColor rgb="FFFFC000"/>
        </patternFill>
      </fill>
    </dxf>
    <dxf>
      <fill>
        <patternFill>
          <bgColor rgb="FFF8696B"/>
        </patternFill>
      </fill>
    </dxf>
    <dxf>
      <font>
        <b/>
        <color rgb="FFB8860B"/>
      </font>
    </dxf>
    <dxf>
      <font>
        <b/>
        <color rgb="FFC00000"/>
      </font>
    </dxf>
    <dxf>
      <font>
        <b/>
        <color rgb="FF1E6B45"/>
      </font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CE5CD"/>
        </patternFill>
      </fill>
    </dxf>
    <dxf>
      <fill>
        <patternFill>
          <bgColor rgb="FFF4CCCC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rgb="FFB8860B"/>
      </font>
    </dxf>
    <dxf>
      <font>
        <b/>
        <color rgb="FFC00000"/>
      </font>
    </dxf>
    <dxf>
      <font>
        <b/>
        <color rgb="FF1E6B45"/>
      </font>
    </dxf>
    <dxf>
      <font>
        <color rgb="FF276221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FFFFFF"/>
      </font>
      <fill>
        <patternFill>
          <bgColor rgb="FFFF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CE5CD"/>
        </patternFill>
      </fill>
    </dxf>
    <dxf>
      <fill>
        <patternFill>
          <bgColor rgb="FFF4CCCC"/>
        </patternFill>
      </fill>
    </dxf>
    <dxf>
      <fill>
        <patternFill>
          <bgColor rgb="FFFFEB84"/>
        </patternFill>
      </fill>
    </dxf>
    <dxf>
      <fill>
        <patternFill>
          <bgColor rgb="FFFFC000"/>
        </patternFill>
      </fill>
    </dxf>
    <dxf>
      <fill>
        <patternFill>
          <bgColor rgb="FFF8696B"/>
        </patternFill>
      </fill>
    </dxf>
    <dxf>
      <font>
        <b/>
        <color rgb="FFB8860B"/>
      </font>
    </dxf>
    <dxf>
      <font>
        <b/>
        <color rgb="FFC00000"/>
      </font>
    </dxf>
    <dxf>
      <font>
        <b/>
        <color rgb="FF1E6B45"/>
      </font>
    </dxf>
    <dxf>
      <fill>
        <patternFill>
          <bgColor rgb="FFFFF2CC"/>
        </patternFill>
      </fill>
    </dxf>
    <dxf>
      <fill>
        <patternFill>
          <bgColor rgb="FFFCE5CD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CE5CD"/>
        </patternFill>
      </fill>
    </dxf>
    <dxf>
      <fill>
        <patternFill>
          <bgColor rgb="FFFFEB84"/>
        </patternFill>
      </fill>
    </dxf>
    <dxf>
      <fill>
        <patternFill>
          <bgColor rgb="FFFFC000"/>
        </patternFill>
      </fill>
    </dxf>
    <dxf>
      <fill>
        <patternFill>
          <bgColor rgb="FFF8696B"/>
        </patternFill>
      </fill>
    </dxf>
    <dxf>
      <font>
        <color rgb="FF276221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FFFFFF"/>
      </font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EB84"/>
      <rgbColor rgb="FFFF00FF"/>
      <rgbColor rgb="FF00FFFF"/>
      <rgbColor rgb="FF9C0006"/>
      <rgbColor rgb="FF276221"/>
      <rgbColor rgb="FF000080"/>
      <rgbColor rgb="FF9C6500"/>
      <rgbColor rgb="FFCC4125"/>
      <rgbColor rgb="FF1E6B45"/>
      <rgbColor rgb="FFFFC7CE"/>
      <rgbColor rgb="FFC0504D"/>
      <rgbColor rgb="FF9999FF"/>
      <rgbColor rgb="FFA53434"/>
      <rgbColor rgb="FFFFF2CC"/>
      <rgbColor rgb="FFD9EAD3"/>
      <rgbColor rgb="FF660066"/>
      <rgbColor rgb="FFF8696B"/>
      <rgbColor rgb="FF0066CC"/>
      <rgbColor rgb="FFD9D9D9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C6EFCE"/>
      <rgbColor rgb="FFFFEB9C"/>
      <rgbColor rgb="FFF8F9FA"/>
      <rgbColor rgb="FFFCE5CD"/>
      <rgbColor rgb="FFCC99FF"/>
      <rgbColor rgb="FFF4CCCC"/>
      <rgbColor rgb="FF2E75B6"/>
      <rgbColor rgb="FF33CCCC"/>
      <rgbColor rgb="FF99CC00"/>
      <rgbColor rgb="FFFFC000"/>
      <rgbColor rgb="FFB8860B"/>
      <rgbColor rgb="FFE06666"/>
      <rgbColor rgb="FF5A5A5A"/>
      <rgbColor rgb="FFAAAAAA"/>
      <rgbColor rgb="FF003366"/>
      <rgbColor rgb="FF2E7D32"/>
      <rgbColor rgb="FF003300"/>
      <rgbColor rgb="FF404040"/>
      <rgbColor rgb="FF9C5700"/>
      <rgbColor rgb="FF7030A0"/>
      <rgbColor rgb="FF1F4E79"/>
      <rgbColor rgb="FF2F2F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00"/>
  <sheetViews>
    <sheetView showGridLines="0" tabSelected="1" zoomScaleNormal="100" workbookViewId="0">
      <pane ySplit="13" topLeftCell="A89" activePane="bottomLeft" state="frozen"/>
      <selection pane="bottomLeft" activeCell="F43" sqref="F43"/>
    </sheetView>
  </sheetViews>
  <sheetFormatPr defaultColWidth="14.44140625" defaultRowHeight="14.4" x14ac:dyDescent="0.3"/>
  <cols>
    <col min="1" max="1" width="1.88671875" style="10" customWidth="1"/>
    <col min="2" max="2" width="84.44140625" style="10" customWidth="1"/>
    <col min="3" max="3" width="17" style="10" customWidth="1"/>
    <col min="4" max="4" width="36" style="10" customWidth="1"/>
    <col min="5" max="5" width="16" style="10" customWidth="1"/>
    <col min="6" max="6" width="14" style="10" customWidth="1"/>
    <col min="7" max="7" width="32.109375" style="10" customWidth="1"/>
    <col min="8" max="8" width="0.44140625" style="10" customWidth="1"/>
    <col min="9" max="9" width="6.88671875" style="10" hidden="1" customWidth="1"/>
    <col min="10" max="10" width="8.6640625" style="10" hidden="1" customWidth="1"/>
  </cols>
  <sheetData>
    <row r="1" spans="2:25" ht="33.75" customHeight="1" x14ac:dyDescent="0.3">
      <c r="B1" s="11" t="s">
        <v>0</v>
      </c>
      <c r="C1" s="12"/>
      <c r="D1" s="12"/>
      <c r="E1" s="12"/>
      <c r="F1" s="12"/>
      <c r="G1" s="12"/>
      <c r="H1" s="12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2:25" ht="21.75" customHeight="1" x14ac:dyDescent="0.3">
      <c r="B2" s="13" t="s">
        <v>1</v>
      </c>
      <c r="C2" s="12"/>
      <c r="D2" s="12"/>
      <c r="E2" s="12"/>
      <c r="F2" s="12"/>
      <c r="G2" s="12"/>
      <c r="H2" s="12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2:25" ht="9.75" customHeight="1" x14ac:dyDescent="0.3">
      <c r="B3" s="12"/>
      <c r="C3" s="12"/>
      <c r="D3" s="12"/>
      <c r="E3" s="12"/>
      <c r="F3" s="12"/>
      <c r="G3" s="12"/>
      <c r="H3" s="12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2:25" ht="21.75" customHeight="1" x14ac:dyDescent="0.3">
      <c r="B4" s="9" t="s">
        <v>2</v>
      </c>
      <c r="C4" s="9"/>
      <c r="D4" s="9" t="s">
        <v>3</v>
      </c>
      <c r="E4" s="9"/>
      <c r="F4" s="9"/>
      <c r="G4" s="9" t="s">
        <v>4</v>
      </c>
      <c r="H4" s="9"/>
      <c r="I4" s="9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2:25" ht="36" customHeight="1" x14ac:dyDescent="0.3">
      <c r="B5" s="8" t="str">
        <f>"TOTAL: "&amp;COUNTA(VEICULOS!C6:C35)</f>
        <v>TOTAL: 28</v>
      </c>
      <c r="C5" s="8"/>
      <c r="D5" s="8" t="str">
        <f>"TOTAL: "&amp;COUNTA(CONDUTORES!D6:D95)</f>
        <v>TOTAL: 88</v>
      </c>
      <c r="E5" s="8"/>
      <c r="F5" s="8"/>
      <c r="G5" s="8" t="str">
        <f>"TOTAL: "&amp;COUNTA(FUNCIONARIOS!#REF!)</f>
        <v>TOTAL: 1</v>
      </c>
      <c r="H5" s="8"/>
      <c r="I5" s="8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spans="2:25" ht="19.5" customHeight="1" x14ac:dyDescent="0.3">
      <c r="B6" s="7" t="str">
        <f>"✅  TEM PERFIL:  "&amp;COUNTIF(VEICULOS!D6:D35,"TEM PERFIL")</f>
        <v>✅  TEM PERFIL:  23</v>
      </c>
      <c r="C6" s="7"/>
      <c r="D6" s="7" t="str">
        <f>"✅  TEM PERFIL:  "&amp;COUNTIF(CONDUTORES!E6:E95,"TEM PERFIL")</f>
        <v>✅  TEM PERFIL:  71</v>
      </c>
      <c r="E6" s="7"/>
      <c r="F6" s="7"/>
      <c r="G6" s="7" t="str">
        <f>"✅  TEM PERFIL:  "&amp;COUNTIF(FUNCIONARIOS!C6:C20,"TEM PERFIL")</f>
        <v>✅  TEM PERFIL:  7</v>
      </c>
      <c r="H6" s="7"/>
      <c r="I6" s="7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 spans="2:25" ht="19.5" customHeight="1" x14ac:dyDescent="0.3">
      <c r="B7" s="6" t="str">
        <f>"🕓  AGUARDANDO RETORNO:  "&amp;COUNTIF(VEICULOS!D6:D35,"AGUARDANDO RETORNO")</f>
        <v>🕓  AGUARDANDO RETORNO:  0</v>
      </c>
      <c r="C7" s="6"/>
      <c r="D7" s="6" t="str">
        <f>"🕓  AGUARDANDO RETORNO:  "&amp;COUNTIF(CONDUTORES!E6:E95,"AGUARDANDO RETORNO")</f>
        <v>🕓  AGUARDANDO RETORNO:  1</v>
      </c>
      <c r="E7" s="6"/>
      <c r="F7" s="6"/>
      <c r="G7" s="6" t="str">
        <f>"🕓  AGUARDANDO RETORNO:  "&amp;COUNTIF(FUNCIONARIOS!C6:C20,"AGUARDANDO RETORNO")</f>
        <v>🕓  AGUARDANDO RETORNO:  0</v>
      </c>
      <c r="H7" s="6"/>
      <c r="I7" s="6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 spans="2:25" ht="19.5" customHeight="1" x14ac:dyDescent="0.3">
      <c r="B8" s="5" t="str">
        <f>"❌  NÃO TEM PERFIL:  "&amp;COUNTIF(VEICULOS!D6:D35,"NÃO TEM PERFIL")</f>
        <v>❌  NÃO TEM PERFIL:  4</v>
      </c>
      <c r="C8" s="5"/>
      <c r="D8" s="5" t="str">
        <f>"❌  NÃO TEM PERFIL:  "&amp;COUNTIF(CONDUTORES!E6:E95,"NÃO TEM PERFIL")</f>
        <v>❌  NÃO TEM PERFIL:  11</v>
      </c>
      <c r="E8" s="5"/>
      <c r="F8" s="5"/>
      <c r="G8" s="5" t="str">
        <f>"❌  NÃO TEM PERFIL:  "&amp;COUNTIF(FUNCIONARIOS!C6:C20,"NÃO TEM PERFIL")</f>
        <v>❌  NÃO TEM PERFIL:  1</v>
      </c>
      <c r="H8" s="5"/>
      <c r="I8" s="5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 spans="2:25" ht="18" customHeight="1" x14ac:dyDescent="0.3">
      <c r="B9" s="4" t="str">
        <f>TEXT(IFERROR(COUNTIF(VEICULOS!D6:D35,"TEM PERFIL")/COUNTA(VEICULOS!C6:C35),0),"0%")&amp;" com perfil"</f>
        <v>82% com perfil</v>
      </c>
      <c r="C9" s="4"/>
      <c r="D9" s="4" t="str">
        <f>TEXT(IFERROR(COUNTIF(CONDUTORES!E6:E95,"TEM PERFIL")/COUNTA(CONDUTORES!D6:D95),0),"0%")&amp;" com perfil"</f>
        <v>81% com perfil</v>
      </c>
      <c r="E9" s="4"/>
      <c r="F9" s="4"/>
      <c r="G9" s="4" t="str">
        <f>TEXT(IFERROR(COUNTIF(FUNCIONARIOS!C6:C20,"TEM PERFIL")/COUNTA(FUNCIONARIOS!#REF!),0),"0%")&amp;" com perfil"</f>
        <v>700% com perfil</v>
      </c>
      <c r="H9" s="4"/>
      <c r="I9" s="4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spans="2:25" ht="9.75" customHeight="1" x14ac:dyDescent="0.3">
      <c r="B10" s="14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 spans="2:25" ht="21.75" customHeight="1" x14ac:dyDescent="0.3">
      <c r="B11" s="3" t="str">
        <f>"TOTAL GERAL:  "&amp;(COUNTA(VEICULOS!C6:C35)+COUNTA(CONDUTORES!D6:D95)+COUNTA(FUNCIONARIOS!#REF!))&amp;" registros     |     TEM PERFIL: "&amp;(COUNTIF(VEICULOS!D6:D35,"TEM PERFIL")+COUNTIF(CONDUTORES!E6:E95,"TEM PERFIL")+COUNTIF(FUNCIONARIOS!C6:C20,"TEM PERFIL"))&amp;"     |     AGUARDANDO: "&amp;(COUNTIF(VEICULOS!D6:D35,"AGUARDANDO RETORNO")+COUNTIF(CONDUTORES!E6:E95,"AGUARDANDO RETORNO")+COUNTIF(FUNCIONARIOS!C6:C20,"AGUARDANDO RETORNO"))&amp;"     |     PENDENTES: "&amp;(COUNTIF(VEICULOS!D6:D35,"NÃO TEM PERFIL")+COUNTIF(CONDUTORES!E6:E95,"NÃO TEM PERFIL")+COUNTIF(FUNCIONARIOS!C6:C20,"NÃO TEM PERFIL"))&amp;"     |     DIVERGENTES/INVÁLIDOS: "&amp;(COUNTIF(CONDUTORES!E6:E95,"DADOS DIVERGENTES")+COUNTIF(CONDUTORES!E6:E95,"DADOS INVÁLIDOS"))</f>
        <v>TOTAL GERAL:  117 registros     |     TEM PERFIL: 101     |     AGUARDANDO: 1     |     PENDENTES: 16     |     DIVERGENTES/INVÁLIDOS: 2</v>
      </c>
      <c r="C11" s="3"/>
      <c r="D11" s="3"/>
      <c r="E11" s="3"/>
      <c r="F11" s="3"/>
      <c r="G11" s="3"/>
      <c r="H11" s="3"/>
      <c r="I11" s="3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 spans="2:25" ht="13.5" customHeight="1" x14ac:dyDescent="0.3">
      <c r="B12" s="15" t="s">
        <v>5</v>
      </c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 spans="2:25" ht="18" customHeight="1" x14ac:dyDescent="0.3">
      <c r="B13" s="2" t="s">
        <v>6</v>
      </c>
      <c r="C13" s="2"/>
      <c r="D13" s="2"/>
      <c r="E13" s="2"/>
      <c r="F13" s="2"/>
      <c r="G13" s="2"/>
      <c r="H13" s="16"/>
      <c r="I13" s="16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 spans="2:25" ht="21.75" customHeight="1" x14ac:dyDescent="0.3">
      <c r="B14" s="17" t="s">
        <v>7</v>
      </c>
      <c r="C14" s="17" t="s">
        <v>8</v>
      </c>
      <c r="D14" s="17" t="s">
        <v>9</v>
      </c>
      <c r="E14" s="17" t="s">
        <v>10</v>
      </c>
      <c r="F14" s="17" t="s">
        <v>11</v>
      </c>
      <c r="G14" s="17" t="s">
        <v>12</v>
      </c>
      <c r="H14" s="18"/>
      <c r="I14" s="18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 spans="2:25" ht="16.5" customHeight="1" x14ac:dyDescent="0.3">
      <c r="B15" s="19">
        <f ca="1">IF($J15&gt;=9999999,"",1)</f>
        <v>1</v>
      </c>
      <c r="C15" s="19" t="str">
        <f t="array" aca="1" ref="C15" ca="1">IF($J15&gt;=9999999,"",INDEX(BASE!$A$2:$A$136,MATCH($J15,BASE!$G$2:$G$136,0)))</f>
        <v>Condutor</v>
      </c>
      <c r="D15" s="20" t="str">
        <f t="array" aca="1" ref="D15" ca="1">IF($J15&gt;=9999999,"",IF(INDEX(BASE!$C$2:$C$136,MATCH($J15,BASE!$G$2:$G$136,0))=0,"",INDEX(BASE!$C$2:$C$136,MATCH($J15,BASE!$G$2:$G$136,0))))</f>
        <v>VALDO SANTOS DA SILVA</v>
      </c>
      <c r="E15" s="19" t="str">
        <f t="array" aca="1" ref="E15" ca="1">IF($J15&gt;=9999999,"",INDEX(BASE!$D$2:$D$136,MATCH($J15,BASE!$G$2:$G$136,0)))</f>
        <v>TEM PERFIL</v>
      </c>
      <c r="F15" s="21" t="str">
        <f t="array" aca="1" ref="F15" ca="1">IF($J15&gt;=9999999,"",INDEX(BASE!$E$2:$E$136,MATCH($J15,BASE!$G$2:$G$136,0)))</f>
        <v>29/07/2026</v>
      </c>
      <c r="G15" s="19">
        <f t="array" aca="1" ref="G15" ca="1">IF($J15&gt;=9999999,"",INDEX(BASE!$F$2:$F$136,MATCH($J15,BASE!$G$2:$G$136,0)))</f>
        <v>-37</v>
      </c>
      <c r="H15" s="18"/>
      <c r="I15" s="18"/>
      <c r="J15" s="10">
        <f ca="1">SMALL(BASE!$G$2:$G$136,1)</f>
        <v>-36.99933</v>
      </c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 spans="2:25" ht="16.5" customHeight="1" x14ac:dyDescent="0.3">
      <c r="B16" s="19">
        <f ca="1">IF($J16&gt;=9999999,"",2)</f>
        <v>2</v>
      </c>
      <c r="C16" s="19" t="str">
        <f t="array" aca="1" ref="C16" ca="1">IF($J16&gt;=9999999,"",INDEX(BASE!$A$2:$A$136,MATCH($J16,BASE!$G$2:$G$136,0)))</f>
        <v>Condutor</v>
      </c>
      <c r="D16" s="20" t="str">
        <f t="array" aca="1" ref="D16" ca="1">IF($J16&gt;=9999999,"",IF(INDEX(BASE!$C$2:$C$136,MATCH($J16,BASE!$G$2:$G$136,0))=0,"",INDEX(BASE!$C$2:$C$136,MATCH($J16,BASE!$G$2:$G$136,0))))</f>
        <v>IGOR GOMES BENTO</v>
      </c>
      <c r="E16" s="19" t="str">
        <f t="array" aca="1" ref="E16" ca="1">IF($J16&gt;=9999999,"",INDEX(BASE!$D$2:$D$136,MATCH($J16,BASE!$G$2:$G$136,0)))</f>
        <v>TEM PERFIL</v>
      </c>
      <c r="F16" s="21" t="str">
        <f t="array" aca="1" ref="F16" ca="1">IF($J16&gt;=9999999,"",INDEX(BASE!$E$2:$E$136,MATCH($J16,BASE!$G$2:$G$136,0)))</f>
        <v>11/08/2026</v>
      </c>
      <c r="G16" s="19">
        <f t="array" aca="1" ref="G16" ca="1">IF($J16&gt;=9999999,"",INDEX(BASE!$F$2:$F$136,MATCH($J16,BASE!$G$2:$G$136,0)))</f>
        <v>-24</v>
      </c>
      <c r="H16" s="18"/>
      <c r="I16" s="18"/>
      <c r="J16" s="10">
        <f ca="1">SMALL(BASE!$G$2:$G$136,2)</f>
        <v>-23.99953</v>
      </c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spans="2:25" ht="16.5" customHeight="1" x14ac:dyDescent="0.3">
      <c r="B17" s="19">
        <f ca="1">IF($J17&gt;=9999999,"",3)</f>
        <v>3</v>
      </c>
      <c r="C17" s="19" t="str">
        <f t="array" aca="1" ref="C17" ca="1">IF($J17&gt;=9999999,"",INDEX(BASE!$A$2:$A$136,MATCH($J17,BASE!$G$2:$G$136,0)))</f>
        <v>Condutor</v>
      </c>
      <c r="D17" s="20" t="str">
        <f t="array" aca="1" ref="D17" ca="1">IF($J17&gt;=9999999,"",IF(INDEX(BASE!$C$2:$C$136,MATCH($J17,BASE!$G$2:$G$136,0))=0,"",INDEX(BASE!$C$2:$C$136,MATCH($J17,BASE!$G$2:$G$136,0))))</f>
        <v>THIAGO HERCULANO DE CARVALHO MAGALHAES</v>
      </c>
      <c r="E17" s="19" t="str">
        <f t="array" aca="1" ref="E17" ca="1">IF($J17&gt;=9999999,"",INDEX(BASE!$D$2:$D$136,MATCH($J17,BASE!$G$2:$G$136,0)))</f>
        <v>TEM PERFIL</v>
      </c>
      <c r="F17" s="21" t="str">
        <f t="array" aca="1" ref="F17" ca="1">IF($J17&gt;=9999999,"",INDEX(BASE!$E$2:$E$136,MATCH($J17,BASE!$G$2:$G$136,0)))</f>
        <v>10/09/2026</v>
      </c>
      <c r="G17" s="19">
        <f t="array" aca="1" ref="G17" ca="1">IF($J17&gt;=9999999,"",INDEX(BASE!$F$2:$F$136,MATCH($J17,BASE!$G$2:$G$136,0)))</f>
        <v>6</v>
      </c>
      <c r="H17" s="18"/>
      <c r="I17" s="18"/>
      <c r="J17" s="10">
        <f ca="1">SMALL(BASE!$G$2:$G$136,3)</f>
        <v>6.0006500000000003</v>
      </c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spans="2:25" ht="16.5" customHeight="1" x14ac:dyDescent="0.3">
      <c r="B18" s="19">
        <f ca="1">IF($J18&gt;=9999999,"",4)</f>
        <v>4</v>
      </c>
      <c r="C18" s="19" t="str">
        <f t="array" aca="1" ref="C18" ca="1">IF($J18&gt;=9999999,"",INDEX(BASE!$A$2:$A$136,MATCH($J18,BASE!$G$2:$G$136,0)))</f>
        <v>Veículo</v>
      </c>
      <c r="D18" s="20" t="str">
        <f t="array" aca="1" ref="D18" ca="1">IF($J18&gt;=9999999,"",IF(INDEX(BASE!$C$2:$C$136,MATCH($J18,BASE!$G$2:$G$136,0))=0,"",INDEX(BASE!$C$2:$C$136,MATCH($J18,BASE!$G$2:$G$136,0))))</f>
        <v/>
      </c>
      <c r="E18" s="19" t="str">
        <f t="array" aca="1" ref="E18" ca="1">IF($J18&gt;=9999999,"",INDEX(BASE!$D$2:$D$136,MATCH($J18,BASE!$G$2:$G$136,0)))</f>
        <v>TEM PERFIL</v>
      </c>
      <c r="F18" s="21" t="str">
        <f t="array" aca="1" ref="F18" ca="1">IF($J18&gt;=9999999,"",INDEX(BASE!$E$2:$E$136,MATCH($J18,BASE!$G$2:$G$136,0)))</f>
        <v>19/09/2026</v>
      </c>
      <c r="G18" s="19">
        <f t="array" aca="1" ref="G18" ca="1">IF($J18&gt;=9999999,"",INDEX(BASE!$F$2:$F$136,MATCH($J18,BASE!$G$2:$G$136,0)))</f>
        <v>15</v>
      </c>
      <c r="H18" s="18"/>
      <c r="I18" s="18"/>
      <c r="J18" s="10">
        <f ca="1">SMALL(BASE!$G$2:$G$136,4)</f>
        <v>15.000120000000001</v>
      </c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 spans="2:25" ht="16.5" customHeight="1" x14ac:dyDescent="0.3">
      <c r="B19" s="19">
        <f ca="1">IF($J19&gt;=9999999,"",5)</f>
        <v>5</v>
      </c>
      <c r="C19" s="19" t="str">
        <f t="array" aca="1" ref="C19" ca="1">IF($J19&gt;=9999999,"",INDEX(BASE!$A$2:$A$136,MATCH($J19,BASE!$G$2:$G$136,0)))</f>
        <v>Condutor</v>
      </c>
      <c r="D19" s="20" t="str">
        <f t="array" aca="1" ref="D19" ca="1">IF($J19&gt;=9999999,"",IF(INDEX(BASE!$C$2:$C$136,MATCH($J19,BASE!$G$2:$G$136,0))=0,"",INDEX(BASE!$C$2:$C$136,MATCH($J19,BASE!$G$2:$G$136,0))))</f>
        <v>STANLEY JUNIO LIMA NOVAIS</v>
      </c>
      <c r="E19" s="19" t="str">
        <f t="array" aca="1" ref="E19" ca="1">IF($J19&gt;=9999999,"",INDEX(BASE!$D$2:$D$136,MATCH($J19,BASE!$G$2:$G$136,0)))</f>
        <v>TEM PERFIL</v>
      </c>
      <c r="F19" s="21" t="str">
        <f t="array" aca="1" ref="F19" ca="1">IF($J19&gt;=9999999,"",INDEX(BASE!$E$2:$E$136,MATCH($J19,BASE!$G$2:$G$136,0)))</f>
        <v>19/10/2026</v>
      </c>
      <c r="G19" s="19">
        <f t="array" aca="1" ref="G19" ca="1">IF($J19&gt;=9999999,"",INDEX(BASE!$F$2:$F$136,MATCH($J19,BASE!$G$2:$G$136,0)))</f>
        <v>45</v>
      </c>
      <c r="H19" s="18"/>
      <c r="I19" s="18"/>
      <c r="J19" s="10">
        <f ca="1">SMALL(BASE!$G$2:$G$136,5)</f>
        <v>45.000630000000001</v>
      </c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 spans="2:25" ht="16.5" customHeight="1" x14ac:dyDescent="0.3">
      <c r="B20" s="19">
        <f ca="1">IF($J20&gt;=9999999,"",6)</f>
        <v>6</v>
      </c>
      <c r="C20" s="19" t="str">
        <f t="array" aca="1" ref="C20" ca="1">IF($J20&gt;=9999999,"",INDEX(BASE!$A$2:$A$136,MATCH($J20,BASE!$G$2:$G$136,0)))</f>
        <v>Condutor</v>
      </c>
      <c r="D20" s="20" t="str">
        <f t="array" aca="1" ref="D20" ca="1">IF($J20&gt;=9999999,"",IF(INDEX(BASE!$C$2:$C$136,MATCH($J20,BASE!$G$2:$G$136,0))=0,"",INDEX(BASE!$C$2:$C$136,MATCH($J20,BASE!$G$2:$G$136,0))))</f>
        <v>WALLAS ARAUJO MOTA</v>
      </c>
      <c r="E20" s="19" t="str">
        <f t="array" aca="1" ref="E20" ca="1">IF($J20&gt;=9999999,"",INDEX(BASE!$D$2:$D$136,MATCH($J20,BASE!$G$2:$G$136,0)))</f>
        <v>TEM PERFIL</v>
      </c>
      <c r="F20" s="21" t="str">
        <f t="array" aca="1" ref="F20" ca="1">IF($J20&gt;=9999999,"",INDEX(BASE!$E$2:$E$136,MATCH($J20,BASE!$G$2:$G$136,0)))</f>
        <v>19/10/2026</v>
      </c>
      <c r="G20" s="19">
        <f t="array" aca="1" ref="G20" ca="1">IF($J20&gt;=9999999,"",INDEX(BASE!$F$2:$F$136,MATCH($J20,BASE!$G$2:$G$136,0)))</f>
        <v>45</v>
      </c>
      <c r="H20" s="18"/>
      <c r="I20" s="18"/>
      <c r="J20" s="10">
        <f ca="1">SMALL(BASE!$G$2:$G$136,6)</f>
        <v>45.000689999999999</v>
      </c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 spans="2:25" ht="16.5" customHeight="1" x14ac:dyDescent="0.3">
      <c r="B21" s="19">
        <f ca="1">IF($J21&gt;=9999999,"",7)</f>
        <v>7</v>
      </c>
      <c r="C21" s="19" t="str">
        <f t="array" aca="1" ref="C21" ca="1">IF($J21&gt;=9999999,"",INDEX(BASE!$A$2:$A$136,MATCH($J21,BASE!$G$2:$G$136,0)))</f>
        <v>Condutor</v>
      </c>
      <c r="D21" s="20" t="str">
        <f t="array" aca="1" ref="D21" ca="1">IF($J21&gt;=9999999,"",IF(INDEX(BASE!$C$2:$C$136,MATCH($J21,BASE!$G$2:$G$136,0))=0,"",INDEX(BASE!$C$2:$C$136,MATCH($J21,BASE!$G$2:$G$136,0))))</f>
        <v>HEBER AUGUSTO BARBOSA DE SOUZA</v>
      </c>
      <c r="E21" s="19" t="str">
        <f t="array" aca="1" ref="E21" ca="1">IF($J21&gt;=9999999,"",INDEX(BASE!$D$2:$D$136,MATCH($J21,BASE!$G$2:$G$136,0)))</f>
        <v>TEM PERFIL</v>
      </c>
      <c r="F21" s="21">
        <f t="array" aca="1" ref="F21" ca="1">IF($J21&gt;=9999999,"",INDEX(BASE!$E$2:$E$136,MATCH($J21,BASE!$G$2:$G$136,0)))</f>
        <v>46336</v>
      </c>
      <c r="G21" s="19">
        <f t="array" aca="1" ref="G21" ca="1">IF($J21&gt;=9999999,"",INDEX(BASE!$F$2:$F$136,MATCH($J21,BASE!$G$2:$G$136,0)))</f>
        <v>67</v>
      </c>
      <c r="H21" s="18"/>
      <c r="I21" s="18"/>
      <c r="J21" s="10">
        <f ca="1">SMALL(BASE!$G$2:$G$136,7)</f>
        <v>67.000460000000004</v>
      </c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 spans="2:25" ht="16.5" customHeight="1" x14ac:dyDescent="0.3">
      <c r="B22" s="19">
        <f ca="1">IF($J22&gt;=9999999,"",8)</f>
        <v>8</v>
      </c>
      <c r="C22" s="19" t="str">
        <f t="array" aca="1" ref="C22" ca="1">IF($J22&gt;=9999999,"",INDEX(BASE!$A$2:$A$136,MATCH($J22,BASE!$G$2:$G$136,0)))</f>
        <v>Condutor</v>
      </c>
      <c r="D22" s="20" t="str">
        <f t="array" aca="1" ref="D22" ca="1">IF($J22&gt;=9999999,"",IF(INDEX(BASE!$C$2:$C$136,MATCH($J22,BASE!$G$2:$G$136,0))=0,"",INDEX(BASE!$C$2:$C$136,MATCH($J22,BASE!$G$2:$G$136,0))))</f>
        <v>BRUNO GONCALVES EVANGELISTA</v>
      </c>
      <c r="E22" s="19" t="str">
        <f t="array" aca="1" ref="E22" ca="1">IF($J22&gt;=9999999,"",INDEX(BASE!$D$2:$D$136,MATCH($J22,BASE!$G$2:$G$136,0)))</f>
        <v>TEM PERFIL</v>
      </c>
      <c r="F22" s="21" t="str">
        <f t="array" aca="1" ref="F22" ca="1">IF($J22&gt;=9999999,"",INDEX(BASE!$E$2:$E$136,MATCH($J22,BASE!$G$2:$G$136,0)))</f>
        <v>16/12/2026</v>
      </c>
      <c r="G22" s="19">
        <f t="array" aca="1" ref="G22" ca="1">IF($J22&gt;=9999999,"",INDEX(BASE!$F$2:$F$136,MATCH($J22,BASE!$G$2:$G$136,0)))</f>
        <v>103</v>
      </c>
      <c r="H22" s="18"/>
      <c r="I22" s="18"/>
      <c r="J22" s="10">
        <f ca="1">SMALL(BASE!$G$2:$G$136,8)</f>
        <v>103.00038000000001</v>
      </c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 spans="2:25" ht="16.5" customHeight="1" x14ac:dyDescent="0.3">
      <c r="B23" s="19">
        <f ca="1">IF($J23&gt;=9999999,"",9)</f>
        <v>9</v>
      </c>
      <c r="C23" s="19" t="str">
        <f t="array" aca="1" ref="C23" ca="1">IF($J23&gt;=9999999,"",INDEX(BASE!$A$2:$A$136,MATCH($J23,BASE!$G$2:$G$136,0)))</f>
        <v>Condutor</v>
      </c>
      <c r="D23" s="20" t="str">
        <f t="array" aca="1" ref="D23" ca="1">IF($J23&gt;=9999999,"",IF(INDEX(BASE!$C$2:$C$136,MATCH($J23,BASE!$G$2:$G$136,0))=0,"",INDEX(BASE!$C$2:$C$136,MATCH($J23,BASE!$G$2:$G$136,0))))</f>
        <v>MARCIO EDUARDO DE LIMA ALVES</v>
      </c>
      <c r="E23" s="19" t="str">
        <f t="array" aca="1" ref="E23" ca="1">IF($J23&gt;=9999999,"",INDEX(BASE!$D$2:$D$136,MATCH($J23,BASE!$G$2:$G$136,0)))</f>
        <v>TEM PERFIL</v>
      </c>
      <c r="F23" s="21" t="str">
        <f t="array" aca="1" ref="F23" ca="1">IF($J23&gt;=9999999,"",INDEX(BASE!$E$2:$E$136,MATCH($J23,BASE!$G$2:$G$136,0)))</f>
        <v>16/12/2026</v>
      </c>
      <c r="G23" s="19">
        <f t="array" aca="1" ref="G23" ca="1">IF($J23&gt;=9999999,"",INDEX(BASE!$F$2:$F$136,MATCH($J23,BASE!$G$2:$G$136,0)))</f>
        <v>103</v>
      </c>
      <c r="H23" s="18"/>
      <c r="I23" s="18"/>
      <c r="J23" s="10">
        <f ca="1">SMALL(BASE!$G$2:$G$136,9)</f>
        <v>103.00055</v>
      </c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 spans="2:25" ht="16.5" customHeight="1" x14ac:dyDescent="0.3">
      <c r="B24" s="19">
        <f ca="1">IF($J24&gt;=9999999,"",10)</f>
        <v>10</v>
      </c>
      <c r="C24" s="19" t="str">
        <f t="array" aca="1" ref="C24" ca="1">IF($J24&gt;=9999999,"",INDEX(BASE!$A$2:$A$136,MATCH($J24,BASE!$G$2:$G$136,0)))</f>
        <v>Condutor</v>
      </c>
      <c r="D24" s="20" t="str">
        <f t="array" aca="1" ref="D24" ca="1">IF($J24&gt;=9999999,"",IF(INDEX(BASE!$C$2:$C$136,MATCH($J24,BASE!$G$2:$G$136,0))=0,"",INDEX(BASE!$C$2:$C$136,MATCH($J24,BASE!$G$2:$G$136,0))))</f>
        <v>PEDRO SOUZA FILHO</v>
      </c>
      <c r="E24" s="19" t="str">
        <f t="array" aca="1" ref="E24" ca="1">IF($J24&gt;=9999999,"",INDEX(BASE!$D$2:$D$136,MATCH($J24,BASE!$G$2:$G$136,0)))</f>
        <v>TEM PERFIL</v>
      </c>
      <c r="F24" s="21" t="str">
        <f t="array" aca="1" ref="F24" ca="1">IF($J24&gt;=9999999,"",INDEX(BASE!$E$2:$E$136,MATCH($J24,BASE!$G$2:$G$136,0)))</f>
        <v>16/12/2026</v>
      </c>
      <c r="G24" s="19">
        <f t="array" aca="1" ref="G24" ca="1">IF($J24&gt;=9999999,"",INDEX(BASE!$F$2:$F$136,MATCH($J24,BASE!$G$2:$G$136,0)))</f>
        <v>103</v>
      </c>
      <c r="H24" s="18"/>
      <c r="I24" s="18"/>
      <c r="J24" s="10">
        <f ca="1">SMALL(BASE!$G$2:$G$136,10)</f>
        <v>103.00060000000001</v>
      </c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 spans="2:25" ht="16.5" customHeight="1" x14ac:dyDescent="0.3">
      <c r="B25" s="19">
        <f ca="1">IF($J25&gt;=9999999,"",11)</f>
        <v>11</v>
      </c>
      <c r="C25" s="19" t="str">
        <f t="array" aca="1" ref="C25" ca="1">IF($J25&gt;=9999999,"",INDEX(BASE!$A$2:$A$136,MATCH($J25,BASE!$G$2:$G$136,0)))</f>
        <v>Condutor</v>
      </c>
      <c r="D25" s="20" t="str">
        <f t="array" aca="1" ref="D25" ca="1">IF($J25&gt;=9999999,"",IF(INDEX(BASE!$C$2:$C$136,MATCH($J25,BASE!$G$2:$G$136,0))=0,"",INDEX(BASE!$C$2:$C$136,MATCH($J25,BASE!$G$2:$G$136,0))))</f>
        <v>PHILIPPE GERMANO MAGALHAES DE SOUZA</v>
      </c>
      <c r="E25" s="19" t="str">
        <f t="array" aca="1" ref="E25" ca="1">IF($J25&gt;=9999999,"",INDEX(BASE!$D$2:$D$136,MATCH($J25,BASE!$G$2:$G$136,0)))</f>
        <v>TEM PERFIL</v>
      </c>
      <c r="F25" s="21" t="str">
        <f t="array" aca="1" ref="F25" ca="1">IF($J25&gt;=9999999,"",INDEX(BASE!$E$2:$E$136,MATCH($J25,BASE!$G$2:$G$136,0)))</f>
        <v>16/12/2026</v>
      </c>
      <c r="G25" s="19">
        <f t="array" aca="1" ref="G25" ca="1">IF($J25&gt;=9999999,"",INDEX(BASE!$F$2:$F$136,MATCH($J25,BASE!$G$2:$G$136,0)))</f>
        <v>103</v>
      </c>
      <c r="H25" s="18"/>
      <c r="I25" s="18"/>
      <c r="J25" s="10">
        <f ca="1">SMALL(BASE!$G$2:$G$136,11)</f>
        <v>103.00060999999999</v>
      </c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 spans="2:25" ht="16.5" customHeight="1" x14ac:dyDescent="0.3">
      <c r="B26" s="19">
        <f ca="1">IF($J26&gt;=9999999,"",12)</f>
        <v>12</v>
      </c>
      <c r="C26" s="19" t="str">
        <f t="array" aca="1" ref="C26" ca="1">IF($J26&gt;=9999999,"",INDEX(BASE!$A$2:$A$136,MATCH($J26,BASE!$G$2:$G$136,0)))</f>
        <v>Condutor</v>
      </c>
      <c r="D26" s="20" t="str">
        <f t="array" aca="1" ref="D26" ca="1">IF($J26&gt;=9999999,"",IF(INDEX(BASE!$C$2:$C$136,MATCH($J26,BASE!$G$2:$G$136,0))=0,"",INDEX(BASE!$C$2:$C$136,MATCH($J26,BASE!$G$2:$G$136,0))))</f>
        <v>BRENNER FONSECA DO SERRO</v>
      </c>
      <c r="E26" s="19" t="str">
        <f t="array" aca="1" ref="E26" ca="1">IF($J26&gt;=9999999,"",INDEX(BASE!$D$2:$D$136,MATCH($J26,BASE!$G$2:$G$136,0)))</f>
        <v>TEM PERFIL</v>
      </c>
      <c r="F26" s="21" t="str">
        <f t="array" aca="1" ref="F26" ca="1">IF($J26&gt;=9999999,"",INDEX(BASE!$E$2:$E$136,MATCH($J26,BASE!$G$2:$G$136,0)))</f>
        <v>17/12/2026</v>
      </c>
      <c r="G26" s="19">
        <f t="array" aca="1" ref="G26" ca="1">IF($J26&gt;=9999999,"",INDEX(BASE!$F$2:$F$136,MATCH($J26,BASE!$G$2:$G$136,0)))</f>
        <v>104</v>
      </c>
      <c r="H26" s="18"/>
      <c r="I26" s="18"/>
      <c r="J26" s="10">
        <f ca="1">SMALL(BASE!$G$2:$G$136,12)</f>
        <v>104.00037</v>
      </c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spans="2:25" ht="16.5" customHeight="1" x14ac:dyDescent="0.3">
      <c r="B27" s="19">
        <f ca="1">IF($J27&gt;=9999999,"",13)</f>
        <v>13</v>
      </c>
      <c r="C27" s="19" t="str">
        <f t="array" aca="1" ref="C27" ca="1">IF($J27&gt;=9999999,"",INDEX(BASE!$A$2:$A$136,MATCH($J27,BASE!$G$2:$G$136,0)))</f>
        <v>Condutor</v>
      </c>
      <c r="D27" s="20" t="str">
        <f t="array" aca="1" ref="D27" ca="1">IF($J27&gt;=9999999,"",IF(INDEX(BASE!$C$2:$C$136,MATCH($J27,BASE!$G$2:$G$136,0))=0,"",INDEX(BASE!$C$2:$C$136,MATCH($J27,BASE!$G$2:$G$136,0))))</f>
        <v>WERLY SOUSA DE OLIVEIRA</v>
      </c>
      <c r="E27" s="19" t="str">
        <f t="array" aca="1" ref="E27" ca="1">IF($J27&gt;=9999999,"",INDEX(BASE!$D$2:$D$136,MATCH($J27,BASE!$G$2:$G$136,0)))</f>
        <v>TEM PERFIL</v>
      </c>
      <c r="F27" s="21" t="str">
        <f t="array" aca="1" ref="F27" ca="1">IF($J27&gt;=9999999,"",INDEX(BASE!$E$2:$E$136,MATCH($J27,BASE!$G$2:$G$136,0)))</f>
        <v>24/12/2026</v>
      </c>
      <c r="G27" s="19">
        <f t="array" aca="1" ref="G27" ca="1">IF($J27&gt;=9999999,"",INDEX(BASE!$F$2:$F$136,MATCH($J27,BASE!$G$2:$G$136,0)))</f>
        <v>111</v>
      </c>
      <c r="H27" s="18"/>
      <c r="I27" s="18"/>
      <c r="J27" s="10">
        <f ca="1">SMALL(BASE!$G$2:$G$136,13)</f>
        <v>111.00107</v>
      </c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spans="2:25" ht="16.5" customHeight="1" x14ac:dyDescent="0.3">
      <c r="B28" s="19">
        <f ca="1">IF($J28&gt;=9999999,"",14)</f>
        <v>14</v>
      </c>
      <c r="C28" s="19" t="str">
        <f t="array" aca="1" ref="C28" ca="1">IF($J28&gt;=9999999,"",INDEX(BASE!$A$2:$A$136,MATCH($J28,BASE!$G$2:$G$136,0)))</f>
        <v>Condutor</v>
      </c>
      <c r="D28" s="20" t="str">
        <f t="array" aca="1" ref="D28" ca="1">IF($J28&gt;=9999999,"",IF(INDEX(BASE!$C$2:$C$136,MATCH($J28,BASE!$G$2:$G$136,0))=0,"",INDEX(BASE!$C$2:$C$136,MATCH($J28,BASE!$G$2:$G$136,0))))</f>
        <v>CARLOS AUGUSTO DE CARVALHO JUNIOR</v>
      </c>
      <c r="E28" s="19" t="str">
        <f t="array" aca="1" ref="E28" ca="1">IF($J28&gt;=9999999,"",INDEX(BASE!$D$2:$D$136,MATCH($J28,BASE!$G$2:$G$136,0)))</f>
        <v>TEM PERFIL</v>
      </c>
      <c r="F28" s="21" t="str">
        <f t="array" aca="1" ref="F28" ca="1">IF($J28&gt;=9999999,"",INDEX(BASE!$E$2:$E$136,MATCH($J28,BASE!$G$2:$G$136,0)))</f>
        <v>29/12/2026</v>
      </c>
      <c r="G28" s="19">
        <f t="array" aca="1" ref="G28" ca="1">IF($J28&gt;=9999999,"",INDEX(BASE!$F$2:$F$136,MATCH($J28,BASE!$G$2:$G$136,0)))</f>
        <v>116</v>
      </c>
      <c r="H28" s="18"/>
      <c r="I28" s="18"/>
      <c r="J28" s="10">
        <f ca="1">SMALL(BASE!$G$2:$G$136,14)</f>
        <v>116.00039</v>
      </c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spans="2:25" ht="16.5" customHeight="1" x14ac:dyDescent="0.3">
      <c r="B29" s="19">
        <f ca="1">IF($J29&gt;=9999999,"",15)</f>
        <v>15</v>
      </c>
      <c r="C29" s="19" t="str">
        <f t="array" aca="1" ref="C29" ca="1">IF($J29&gt;=9999999,"",INDEX(BASE!$A$2:$A$136,MATCH($J29,BASE!$G$2:$G$136,0)))</f>
        <v>Condutor</v>
      </c>
      <c r="D29" s="20" t="str">
        <f t="array" aca="1" ref="D29" ca="1">IF($J29&gt;=9999999,"",IF(INDEX(BASE!$C$2:$C$136,MATCH($J29,BASE!$G$2:$G$136,0))=0,"",INDEX(BASE!$C$2:$C$136,MATCH($J29,BASE!$G$2:$G$136,0))))</f>
        <v>FABIANO GOMES DOS SANTOS</v>
      </c>
      <c r="E29" s="19" t="str">
        <f t="array" aca="1" ref="E29" ca="1">IF($J29&gt;=9999999,"",INDEX(BASE!$D$2:$D$136,MATCH($J29,BASE!$G$2:$G$136,0)))</f>
        <v>TEM PERFIL</v>
      </c>
      <c r="F29" s="21" t="str">
        <f t="array" aca="1" ref="F29" ca="1">IF($J29&gt;=9999999,"",INDEX(BASE!$E$2:$E$136,MATCH($J29,BASE!$G$2:$G$136,0)))</f>
        <v>02/01/2027</v>
      </c>
      <c r="G29" s="19">
        <f t="array" aca="1" ref="G29" ca="1">IF($J29&gt;=9999999,"",INDEX(BASE!$F$2:$F$136,MATCH($J29,BASE!$G$2:$G$136,0)))</f>
        <v>120</v>
      </c>
      <c r="H29" s="18"/>
      <c r="I29" s="18"/>
      <c r="J29" s="10">
        <f ca="1">SMALL(BASE!$G$2:$G$136,15)</f>
        <v>120.00042999999999</v>
      </c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spans="2:25" ht="16.5" customHeight="1" x14ac:dyDescent="0.3">
      <c r="B30" s="19">
        <f ca="1">IF($J30&gt;=9999999,"",16)</f>
        <v>16</v>
      </c>
      <c r="C30" s="19" t="str">
        <f t="array" aca="1" ref="C30" ca="1">IF($J30&gt;=9999999,"",INDEX(BASE!$A$2:$A$136,MATCH($J30,BASE!$G$2:$G$136,0)))</f>
        <v>Condutor</v>
      </c>
      <c r="D30" s="20" t="str">
        <f t="array" aca="1" ref="D30" ca="1">IF($J30&gt;=9999999,"",IF(INDEX(BASE!$C$2:$C$136,MATCH($J30,BASE!$G$2:$G$136,0))=0,"",INDEX(BASE!$C$2:$C$136,MATCH($J30,BASE!$G$2:$G$136,0))))</f>
        <v>CASSIO SILVA DE JESUS</v>
      </c>
      <c r="E30" s="19" t="str">
        <f t="array" aca="1" ref="E30" ca="1">IF($J30&gt;=9999999,"",INDEX(BASE!$D$2:$D$136,MATCH($J30,BASE!$G$2:$G$136,0)))</f>
        <v>TEM PERFIL</v>
      </c>
      <c r="F30" s="21" t="str">
        <f t="array" aca="1" ref="F30" ca="1">IF($J30&gt;=9999999,"",INDEX(BASE!$E$2:$E$136,MATCH($J30,BASE!$G$2:$G$136,0)))</f>
        <v>05/01/2027</v>
      </c>
      <c r="G30" s="19">
        <f t="array" aca="1" ref="G30" ca="1">IF($J30&gt;=9999999,"",INDEX(BASE!$F$2:$F$136,MATCH($J30,BASE!$G$2:$G$136,0)))</f>
        <v>123</v>
      </c>
      <c r="H30" s="18"/>
      <c r="I30" s="18"/>
      <c r="J30" s="10">
        <f ca="1">SMALL(BASE!$G$2:$G$136,16)</f>
        <v>123.0004</v>
      </c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spans="2:25" ht="16.5" customHeight="1" x14ac:dyDescent="0.3">
      <c r="B31" s="19">
        <f ca="1">IF($J31&gt;=9999999,"",17)</f>
        <v>17</v>
      </c>
      <c r="C31" s="19" t="str">
        <f t="array" aca="1" ref="C31" ca="1">IF($J31&gt;=9999999,"",INDEX(BASE!$A$2:$A$136,MATCH($J31,BASE!$G$2:$G$136,0)))</f>
        <v>Condutor</v>
      </c>
      <c r="D31" s="20" t="str">
        <f t="array" aca="1" ref="D31" ca="1">IF($J31&gt;=9999999,"",IF(INDEX(BASE!$C$2:$C$136,MATCH($J31,BASE!$G$2:$G$136,0))=0,"",INDEX(BASE!$C$2:$C$136,MATCH($J31,BASE!$G$2:$G$136,0))))</f>
        <v>MIKE MENDES DOS SANTOS RODRIGUES</v>
      </c>
      <c r="E31" s="19" t="str">
        <f t="array" aca="1" ref="E31" ca="1">IF($J31&gt;=9999999,"",INDEX(BASE!$D$2:$D$136,MATCH($J31,BASE!$G$2:$G$136,0)))</f>
        <v>TEM PERFIL</v>
      </c>
      <c r="F31" s="21" t="str">
        <f t="array" aca="1" ref="F31" ca="1">IF($J31&gt;=9999999,"",INDEX(BASE!$E$2:$E$136,MATCH($J31,BASE!$G$2:$G$136,0)))</f>
        <v>05/01/2027</v>
      </c>
      <c r="G31" s="19">
        <f t="array" aca="1" ref="G31" ca="1">IF($J31&gt;=9999999,"",INDEX(BASE!$F$2:$F$136,MATCH($J31,BASE!$G$2:$G$136,0)))</f>
        <v>123</v>
      </c>
      <c r="H31" s="18"/>
      <c r="I31" s="18"/>
      <c r="J31" s="10">
        <f ca="1">SMALL(BASE!$G$2:$G$136,17)</f>
        <v>123.00055999999999</v>
      </c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spans="2:25" ht="16.5" customHeight="1" x14ac:dyDescent="0.3">
      <c r="B32" s="19">
        <f ca="1">IF($J32&gt;=9999999,"",18)</f>
        <v>18</v>
      </c>
      <c r="C32" s="19" t="str">
        <f t="array" aca="1" ref="C32" ca="1">IF($J32&gt;=9999999,"",INDEX(BASE!$A$2:$A$136,MATCH($J32,BASE!$G$2:$G$136,0)))</f>
        <v>Condutor</v>
      </c>
      <c r="D32" s="20" t="str">
        <f t="array" aca="1" ref="D32" ca="1">IF($J32&gt;=9999999,"",IF(INDEX(BASE!$C$2:$C$136,MATCH($J32,BASE!$G$2:$G$136,0))=0,"",INDEX(BASE!$C$2:$C$136,MATCH($J32,BASE!$G$2:$G$136,0))))</f>
        <v>MARLLON BRANDON AZEVEDO</v>
      </c>
      <c r="E32" s="19" t="str">
        <f t="array" aca="1" ref="E32" ca="1">IF($J32&gt;=9999999,"",INDEX(BASE!$D$2:$D$136,MATCH($J32,BASE!$G$2:$G$136,0)))</f>
        <v>TEM PERFIL</v>
      </c>
      <c r="F32" s="21">
        <f t="array" aca="1" ref="F32" ca="1">IF($J32&gt;=9999999,"",INDEX(BASE!$E$2:$E$136,MATCH($J32,BASE!$G$2:$G$136,0)))</f>
        <v>46393</v>
      </c>
      <c r="G32" s="19">
        <f t="array" aca="1" ref="G32" ca="1">IF($J32&gt;=9999999,"",INDEX(BASE!$F$2:$F$136,MATCH($J32,BASE!$G$2:$G$136,0)))</f>
        <v>124</v>
      </c>
      <c r="H32" s="18"/>
      <c r="I32" s="18"/>
      <c r="J32" s="10">
        <f ca="1">SMALL(BASE!$G$2:$G$136,18)</f>
        <v>124.00078999999999</v>
      </c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spans="1:25" ht="16.5" customHeight="1" x14ac:dyDescent="0.3">
      <c r="B33" s="19">
        <f ca="1">IF($J33&gt;=9999999,"",19)</f>
        <v>19</v>
      </c>
      <c r="C33" s="19" t="str">
        <f t="array" aca="1" ref="C33" ca="1">IF($J33&gt;=9999999,"",INDEX(BASE!$A$2:$A$136,MATCH($J33,BASE!$G$2:$G$136,0)))</f>
        <v>Condutor</v>
      </c>
      <c r="D33" s="20" t="str">
        <f t="array" aca="1" ref="D33" ca="1">IF($J33&gt;=9999999,"",IF(INDEX(BASE!$C$2:$C$136,MATCH($J33,BASE!$G$2:$G$136,0))=0,"",INDEX(BASE!$C$2:$C$136,MATCH($J33,BASE!$G$2:$G$136,0))))</f>
        <v>LUIS CARLOS NOUSO</v>
      </c>
      <c r="E33" s="19" t="str">
        <f t="array" aca="1" ref="E33" ca="1">IF($J33&gt;=9999999,"",INDEX(BASE!$D$2:$D$136,MATCH($J33,BASE!$G$2:$G$136,0)))</f>
        <v>TEM PERFIL</v>
      </c>
      <c r="F33" s="21" t="str">
        <f t="array" aca="1" ref="F33" ca="1">IF($J33&gt;=9999999,"",INDEX(BASE!$E$2:$E$136,MATCH($J33,BASE!$G$2:$G$136,0)))</f>
        <v>09/01/2027</v>
      </c>
      <c r="G33" s="19">
        <f t="array" aca="1" ref="G33" ca="1">IF($J33&gt;=9999999,"",INDEX(BASE!$F$2:$F$136,MATCH($J33,BASE!$G$2:$G$136,0)))</f>
        <v>127</v>
      </c>
      <c r="H33" s="18"/>
      <c r="I33" s="18"/>
      <c r="J33" s="10">
        <f ca="1">SMALL(BASE!$G$2:$G$136,19)</f>
        <v>127.00077</v>
      </c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spans="1:25" ht="16.5" customHeight="1" x14ac:dyDescent="0.3">
      <c r="B34" s="19">
        <f ca="1">IF($J34&gt;=9999999,"",20)</f>
        <v>20</v>
      </c>
      <c r="C34" s="19" t="str">
        <f t="array" aca="1" ref="C34" ca="1">IF($J34&gt;=9999999,"",INDEX(BASE!$A$2:$A$136,MATCH($J34,BASE!$G$2:$G$136,0)))</f>
        <v>Condutor</v>
      </c>
      <c r="D34" s="20" t="str">
        <f t="array" aca="1" ref="D34" ca="1">IF($J34&gt;=9999999,"",IF(INDEX(BASE!$C$2:$C$136,MATCH($J34,BASE!$G$2:$G$136,0))=0,"",INDEX(BASE!$C$2:$C$136,MATCH($J34,BASE!$G$2:$G$136,0))))</f>
        <v>ANDERSON DA CONCEIÇAO SIQUEIRA</v>
      </c>
      <c r="E34" s="19" t="str">
        <f t="array" aca="1" ref="E34" ca="1">IF($J34&gt;=9999999,"",INDEX(BASE!$D$2:$D$136,MATCH($J34,BASE!$G$2:$G$136,0)))</f>
        <v>TEM PERFIL</v>
      </c>
      <c r="F34" s="21" t="str">
        <f t="array" aca="1" ref="F34" ca="1">IF($J34&gt;=9999999,"",INDEX(BASE!$E$2:$E$136,MATCH($J34,BASE!$G$2:$G$136,0)))</f>
        <v>09/01/2027</v>
      </c>
      <c r="G34" s="19">
        <f t="array" aca="1" ref="G34" ca="1">IF($J34&gt;=9999999,"",INDEX(BASE!$F$2:$F$136,MATCH($J34,BASE!$G$2:$G$136,0)))</f>
        <v>127</v>
      </c>
      <c r="H34" s="18"/>
      <c r="I34" s="18"/>
      <c r="J34" s="10">
        <f ca="1">SMALL(BASE!$G$2:$G$136,20)</f>
        <v>127.00078000000001</v>
      </c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 spans="1:25" ht="16.5" customHeight="1" x14ac:dyDescent="0.3">
      <c r="B35" s="19">
        <f ca="1">IF($J35&gt;=9999999,"",21)</f>
        <v>21</v>
      </c>
      <c r="C35" s="19" t="str">
        <f t="array" aca="1" ref="C35" ca="1">IF($J35&gt;=9999999,"",INDEX(BASE!$A$2:$A$136,MATCH($J35,BASE!$G$2:$G$136,0)))</f>
        <v>Condutor</v>
      </c>
      <c r="D35" s="20" t="str">
        <f t="array" aca="1" ref="D35" ca="1">IF($J35&gt;=9999999,"",IF(INDEX(BASE!$C$2:$C$136,MATCH($J35,BASE!$G$2:$G$136,0))=0,"",INDEX(BASE!$C$2:$C$136,MATCH($J35,BASE!$G$2:$G$136,0))))</f>
        <v>CARLOS HENRIQUE DE OLIVEIRA REIS</v>
      </c>
      <c r="E35" s="19" t="str">
        <f t="array" aca="1" ref="E35" ca="1">IF($J35&gt;=9999999,"",INDEX(BASE!$D$2:$D$136,MATCH($J35,BASE!$G$2:$G$136,0)))</f>
        <v>TEM PERFIL</v>
      </c>
      <c r="F35" s="21" t="str">
        <f t="array" aca="1" ref="F35" ca="1">IF($J35&gt;=9999999,"",INDEX(BASE!$E$2:$E$136,MATCH($J35,BASE!$G$2:$G$136,0)))</f>
        <v>09/01/2027</v>
      </c>
      <c r="G35" s="19">
        <f t="array" aca="1" ref="G35" ca="1">IF($J35&gt;=9999999,"",INDEX(BASE!$F$2:$F$136,MATCH($J35,BASE!$G$2:$G$136,0)))</f>
        <v>127</v>
      </c>
      <c r="H35" s="18"/>
      <c r="I35" s="18"/>
      <c r="J35" s="10">
        <f ca="1">SMALL(BASE!$G$2:$G$136,21)</f>
        <v>127.00086</v>
      </c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 spans="1:25" ht="16.5" customHeight="1" x14ac:dyDescent="0.3">
      <c r="B36" s="19">
        <f ca="1">IF($J36&gt;=9999999,"",22)</f>
        <v>22</v>
      </c>
      <c r="C36" s="19" t="str">
        <f t="array" aca="1" ref="C36" ca="1">IF($J36&gt;=9999999,"",INDEX(BASE!$A$2:$A$136,MATCH($J36,BASE!$G$2:$G$136,0)))</f>
        <v>Veículo</v>
      </c>
      <c r="D36" s="20" t="str">
        <f t="array" aca="1" ref="D36" ca="1">IF($J36&gt;=9999999,"",IF(INDEX(BASE!$C$2:$C$136,MATCH($J36,BASE!$G$2:$G$136,0))=0,"",INDEX(BASE!$C$2:$C$136,MATCH($J36,BASE!$G$2:$G$136,0))))</f>
        <v/>
      </c>
      <c r="E36" s="19" t="str">
        <f t="array" aca="1" ref="E36" ca="1">IF($J36&gt;=9999999,"",INDEX(BASE!$D$2:$D$136,MATCH($J36,BASE!$G$2:$G$136,0)))</f>
        <v>TEM PERFIL</v>
      </c>
      <c r="F36" s="21" t="str">
        <f t="array" aca="1" ref="F36" ca="1">IF($J36&gt;=9999999,"",INDEX(BASE!$E$2:$E$136,MATCH($J36,BASE!$G$2:$G$136,0)))</f>
        <v>12/01/2027</v>
      </c>
      <c r="G36" s="19">
        <f t="array" aca="1" ref="G36" ca="1">IF($J36&gt;=9999999,"",INDEX(BASE!$F$2:$F$136,MATCH($J36,BASE!$G$2:$G$136,0)))</f>
        <v>130</v>
      </c>
      <c r="H36" s="18"/>
      <c r="I36" s="18"/>
      <c r="J36" s="10">
        <f ca="1">SMALL(BASE!$G$2:$G$136,22)</f>
        <v>130.00015999999999</v>
      </c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 spans="1:25" ht="16.5" customHeight="1" x14ac:dyDescent="0.3">
      <c r="B37" s="19">
        <f ca="1">IF($J37&gt;=9999999,"",23)</f>
        <v>23</v>
      </c>
      <c r="C37" s="19" t="str">
        <f t="array" aca="1" ref="C37" ca="1">IF($J37&gt;=9999999,"",INDEX(BASE!$A$2:$A$136,MATCH($J37,BASE!$G$2:$G$136,0)))</f>
        <v>Condutor</v>
      </c>
      <c r="D37" s="20" t="str">
        <f t="array" aca="1" ref="D37" ca="1">IF($J37&gt;=9999999,"",IF(INDEX(BASE!$C$2:$C$136,MATCH($J37,BASE!$G$2:$G$136,0))=0,"",INDEX(BASE!$C$2:$C$136,MATCH($J37,BASE!$G$2:$G$136,0))))</f>
        <v>MAICON DOS SANTOS ALVES</v>
      </c>
      <c r="E37" s="19" t="str">
        <f t="array" aca="1" ref="E37" ca="1">IF($J37&gt;=9999999,"",INDEX(BASE!$D$2:$D$136,MATCH($J37,BASE!$G$2:$G$136,0)))</f>
        <v>TEM PERFIL</v>
      </c>
      <c r="F37" s="21" t="str">
        <f t="array" aca="1" ref="F37" ca="1">IF($J37&gt;=9999999,"",INDEX(BASE!$E$2:$E$136,MATCH($J37,BASE!$G$2:$G$136,0)))</f>
        <v>12/01/2027</v>
      </c>
      <c r="G37" s="19">
        <f t="array" aca="1" ref="G37" ca="1">IF($J37&gt;=9999999,"",INDEX(BASE!$F$2:$F$136,MATCH($J37,BASE!$G$2:$G$136,0)))</f>
        <v>130</v>
      </c>
      <c r="H37" s="18"/>
      <c r="I37" s="18"/>
      <c r="J37" s="10">
        <f ca="1">SMALL(BASE!$G$2:$G$136,23)</f>
        <v>130.00053</v>
      </c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 spans="1:25" ht="16.5" customHeight="1" x14ac:dyDescent="0.3">
      <c r="B38" s="19">
        <f ca="1">IF($J38&gt;=9999999,"",24)</f>
        <v>24</v>
      </c>
      <c r="C38" s="19" t="str">
        <f t="array" aca="1" ref="C38" ca="1">IF($J38&gt;=9999999,"",INDEX(BASE!$A$2:$A$136,MATCH($J38,BASE!$G$2:$G$136,0)))</f>
        <v>Condutor</v>
      </c>
      <c r="D38" s="20" t="str">
        <f t="array" aca="1" ref="D38" ca="1">IF($J38&gt;=9999999,"",IF(INDEX(BASE!$C$2:$C$136,MATCH($J38,BASE!$G$2:$G$136,0))=0,"",INDEX(BASE!$C$2:$C$136,MATCH($J38,BASE!$G$2:$G$136,0))))</f>
        <v>OSCAR JOSE RODRIGUES FERREIRA</v>
      </c>
      <c r="E38" s="19" t="str">
        <f t="array" aca="1" ref="E38" ca="1">IF($J38&gt;=9999999,"",INDEX(BASE!$D$2:$D$136,MATCH($J38,BASE!$G$2:$G$136,0)))</f>
        <v>TEM PERFIL</v>
      </c>
      <c r="F38" s="21" t="str">
        <f t="array" aca="1" ref="F38" ca="1">IF($J38&gt;=9999999,"",INDEX(BASE!$E$2:$E$136,MATCH($J38,BASE!$G$2:$G$136,0)))</f>
        <v>12/01/2027</v>
      </c>
      <c r="G38" s="19">
        <f t="array" aca="1" ref="G38" ca="1">IF($J38&gt;=9999999,"",INDEX(BASE!$F$2:$F$136,MATCH($J38,BASE!$G$2:$G$136,0)))</f>
        <v>130</v>
      </c>
      <c r="H38" s="18"/>
      <c r="I38" s="18"/>
      <c r="J38" s="10">
        <f ca="1">SMALL(BASE!$G$2:$G$136,24)</f>
        <v>130.00057000000001</v>
      </c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 spans="1:25" ht="16.5" customHeight="1" x14ac:dyDescent="0.3">
      <c r="B39" s="19">
        <f ca="1">IF($J39&gt;=9999999,"",25)</f>
        <v>25</v>
      </c>
      <c r="C39" s="19" t="str">
        <f t="array" aca="1" ref="C39" ca="1">IF($J39&gt;=9999999,"",INDEX(BASE!$A$2:$A$136,MATCH($J39,BASE!$G$2:$G$136,0)))</f>
        <v>Veículo</v>
      </c>
      <c r="D39" s="20" t="str">
        <f t="array" aca="1" ref="D39" ca="1">IF($J39&gt;=9999999,"",IF(INDEX(BASE!$C$2:$C$136,MATCH($J39,BASE!$G$2:$G$136,0))=0,"",INDEX(BASE!$C$2:$C$136,MATCH($J39,BASE!$G$2:$G$136,0))))</f>
        <v/>
      </c>
      <c r="E39" s="19" t="str">
        <f t="array" aca="1" ref="E39" ca="1">IF($J39&gt;=9999999,"",INDEX(BASE!$D$2:$D$136,MATCH($J39,BASE!$G$2:$G$136,0)))</f>
        <v>TEM PERFIL</v>
      </c>
      <c r="F39" s="21" t="str">
        <f t="array" aca="1" ref="F39" ca="1">IF($J39&gt;=9999999,"",INDEX(BASE!$E$2:$E$136,MATCH($J39,BASE!$G$2:$G$136,0)))</f>
        <v>13/01/2027</v>
      </c>
      <c r="G39" s="19">
        <f t="array" aca="1" ref="G39" ca="1">IF($J39&gt;=9999999,"",INDEX(BASE!$F$2:$F$136,MATCH($J39,BASE!$G$2:$G$136,0)))</f>
        <v>131</v>
      </c>
      <c r="H39" s="18"/>
      <c r="I39" s="18"/>
      <c r="J39" s="10">
        <f ca="1">SMALL(BASE!$G$2:$G$136,25)</f>
        <v>131.00014999999999</v>
      </c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 spans="1:25" ht="16.5" customHeight="1" x14ac:dyDescent="0.3">
      <c r="B40" s="19">
        <f ca="1">IF($J40&gt;=9999999,"",26)</f>
        <v>26</v>
      </c>
      <c r="C40" s="19" t="str">
        <f t="array" aca="1" ref="C40" ca="1">IF($J40&gt;=9999999,"",INDEX(BASE!$A$2:$A$136,MATCH($J40,BASE!$G$2:$G$136,0)))</f>
        <v>Condutor</v>
      </c>
      <c r="D40" s="20" t="str">
        <f t="array" aca="1" ref="D40" ca="1">IF($J40&gt;=9999999,"",IF(INDEX(BASE!$C$2:$C$136,MATCH($J40,BASE!$G$2:$G$136,0))=0,"",INDEX(BASE!$C$2:$C$136,MATCH($J40,BASE!$G$2:$G$136,0))))</f>
        <v>ADILSON DA SILVA MEIRELLES JUNIOR</v>
      </c>
      <c r="E40" s="19" t="str">
        <f t="array" aca="1" ref="E40" ca="1">IF($J40&gt;=9999999,"",INDEX(BASE!$D$2:$D$136,MATCH($J40,BASE!$G$2:$G$136,0)))</f>
        <v>TEM PERFIL</v>
      </c>
      <c r="F40" s="21" t="str">
        <f t="array" aca="1" ref="F40" ca="1">IF($J40&gt;=9999999,"",INDEX(BASE!$E$2:$E$136,MATCH($J40,BASE!$G$2:$G$136,0)))</f>
        <v>13/01/2027</v>
      </c>
      <c r="G40" s="19">
        <f t="array" aca="1" ref="G40" ca="1">IF($J40&gt;=9999999,"",INDEX(BASE!$F$2:$F$136,MATCH($J40,BASE!$G$2:$G$136,0)))</f>
        <v>131</v>
      </c>
      <c r="H40" s="18"/>
      <c r="I40" s="18"/>
      <c r="J40" s="10">
        <f ca="1">SMALL(BASE!$G$2:$G$136,26)</f>
        <v>131.00072</v>
      </c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 spans="1:25" ht="16.5" customHeight="1" x14ac:dyDescent="0.3">
      <c r="B41" s="19">
        <f ca="1">IF($J41&gt;=9999999,"",27)</f>
        <v>27</v>
      </c>
      <c r="C41" s="19" t="str">
        <f t="array" aca="1" ref="C41" ca="1">IF($J41&gt;=9999999,"",INDEX(BASE!$A$2:$A$136,MATCH($J41,BASE!$G$2:$G$136,0)))</f>
        <v>Condutor</v>
      </c>
      <c r="D41" s="20" t="str">
        <f t="array" aca="1" ref="D41" ca="1">IF($J41&gt;=9999999,"",IF(INDEX(BASE!$C$2:$C$136,MATCH($J41,BASE!$G$2:$G$136,0))=0,"",INDEX(BASE!$C$2:$C$136,MATCH($J41,BASE!$G$2:$G$136,0))))</f>
        <v>MARCOS PAULO CARVALHO DE OLIVEIRA</v>
      </c>
      <c r="E41" s="19" t="str">
        <f t="array" aca="1" ref="E41" ca="1">IF($J41&gt;=9999999,"",INDEX(BASE!$D$2:$D$136,MATCH($J41,BASE!$G$2:$G$136,0)))</f>
        <v>TEM PERFIL</v>
      </c>
      <c r="F41" s="21" t="str">
        <f t="array" aca="1" ref="F41" ca="1">IF($J41&gt;=9999999,"",INDEX(BASE!$E$2:$E$136,MATCH($J41,BASE!$G$2:$G$136,0)))</f>
        <v>13/01/2027</v>
      </c>
      <c r="G41" s="19">
        <f t="array" aca="1" ref="G41" ca="1">IF($J41&gt;=9999999,"",INDEX(BASE!$F$2:$F$136,MATCH($J41,BASE!$G$2:$G$136,0)))</f>
        <v>131</v>
      </c>
      <c r="H41" s="18"/>
      <c r="I41" s="18"/>
      <c r="J41" s="10">
        <f ca="1">SMALL(BASE!$G$2:$G$136,27)</f>
        <v>131.00074000000001</v>
      </c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 spans="1:25" ht="16.5" customHeight="1" x14ac:dyDescent="0.3">
      <c r="B42" s="19">
        <f ca="1">IF($J42&gt;=9999999,"",28)</f>
        <v>28</v>
      </c>
      <c r="C42" s="19" t="str">
        <f t="array" aca="1" ref="C42" ca="1">IF($J42&gt;=9999999,"",INDEX(BASE!$A$2:$A$136,MATCH($J42,BASE!$G$2:$G$136,0)))</f>
        <v>Condutor</v>
      </c>
      <c r="D42" s="20" t="str">
        <f t="array" aca="1" ref="D42" ca="1">IF($J42&gt;=9999999,"",IF(INDEX(BASE!$C$2:$C$136,MATCH($J42,BASE!$G$2:$G$136,0))=0,"",INDEX(BASE!$C$2:$C$136,MATCH($J42,BASE!$G$2:$G$136,0))))</f>
        <v>MARCIO ANTONIO DA SILVA</v>
      </c>
      <c r="E42" s="19" t="str">
        <f t="array" aca="1" ref="E42" ca="1">IF($J42&gt;=9999999,"",INDEX(BASE!$D$2:$D$136,MATCH($J42,BASE!$G$2:$G$136,0)))</f>
        <v>TEM PERFIL</v>
      </c>
      <c r="F42" s="21" t="str">
        <f t="array" aca="1" ref="F42" ca="1">IF($J42&gt;=9999999,"",INDEX(BASE!$E$2:$E$136,MATCH($J42,BASE!$G$2:$G$136,0)))</f>
        <v>13/01/2027</v>
      </c>
      <c r="G42" s="19">
        <f t="array" aca="1" ref="G42" ca="1">IF($J42&gt;=9999999,"",INDEX(BASE!$F$2:$F$136,MATCH($J42,BASE!$G$2:$G$136,0)))</f>
        <v>131</v>
      </c>
      <c r="H42" s="18"/>
      <c r="I42" s="18"/>
      <c r="J42" s="10">
        <f ca="1">SMALL(BASE!$G$2:$G$136,28)</f>
        <v>131.00075000000001</v>
      </c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 spans="1:25" ht="16.5" customHeight="1" x14ac:dyDescent="0.3">
      <c r="B43" s="19">
        <f ca="1">IF($J43&gt;=9999999,"",29)</f>
        <v>29</v>
      </c>
      <c r="C43" s="19" t="str">
        <f t="array" aca="1" ref="C43" ca="1">IF($J43&gt;=9999999,"",INDEX(BASE!$A$2:$A$136,MATCH($J43,BASE!$G$2:$G$136,0)))</f>
        <v>Condutor</v>
      </c>
      <c r="D43" s="20" t="str">
        <f t="array" aca="1" ref="D43" ca="1">IF($J43&gt;=9999999,"",IF(INDEX(BASE!$C$2:$C$136,MATCH($J43,BASE!$G$2:$G$136,0))=0,"",INDEX(BASE!$C$2:$C$136,MATCH($J43,BASE!$G$2:$G$136,0))))</f>
        <v>RAPHAEL MACHADO DA SILVA</v>
      </c>
      <c r="E43" s="19" t="str">
        <f t="array" aca="1" ref="E43" ca="1">IF($J43&gt;=9999999,"",INDEX(BASE!$D$2:$D$136,MATCH($J43,BASE!$G$2:$G$136,0)))</f>
        <v>TEM PERFIL</v>
      </c>
      <c r="F43" s="21" t="str">
        <f t="array" aca="1" ref="F43" ca="1">IF($J43&gt;=9999999,"",INDEX(BASE!$E$2:$E$136,MATCH($J43,BASE!$G$2:$G$136,0)))</f>
        <v>13/01/2027</v>
      </c>
      <c r="G43" s="19">
        <f t="array" aca="1" ref="G43" ca="1">IF($J43&gt;=9999999,"",INDEX(BASE!$F$2:$F$136,MATCH($J43,BASE!$G$2:$G$136,0)))</f>
        <v>131</v>
      </c>
      <c r="H43" s="18"/>
      <c r="I43" s="18"/>
      <c r="J43" s="10">
        <f ca="1">SMALL(BASE!$G$2:$G$136,29)</f>
        <v>131.00076000000001</v>
      </c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 spans="1:25" ht="16.5" customHeight="1" x14ac:dyDescent="0.3">
      <c r="B44" s="19">
        <f ca="1">IF($J44&gt;=9999999,"",30)</f>
        <v>30</v>
      </c>
      <c r="C44" s="19" t="str">
        <f t="array" aca="1" ref="C44" ca="1">IF($J44&gt;=9999999,"",INDEX(BASE!$A$2:$A$136,MATCH($J44,BASE!$G$2:$G$136,0)))</f>
        <v>Condutor</v>
      </c>
      <c r="D44" s="20" t="str">
        <f t="array" aca="1" ref="D44" ca="1">IF($J44&gt;=9999999,"",IF(INDEX(BASE!$C$2:$C$136,MATCH($J44,BASE!$G$2:$G$136,0))=0,"",INDEX(BASE!$C$2:$C$136,MATCH($J44,BASE!$G$2:$G$136,0))))</f>
        <v>TIAGO DA SILVA SALGADO</v>
      </c>
      <c r="E44" s="19" t="str">
        <f t="array" aca="1" ref="E44" ca="1">IF($J44&gt;=9999999,"",INDEX(BASE!$D$2:$D$136,MATCH($J44,BASE!$G$2:$G$136,0)))</f>
        <v>TEM PERFIL</v>
      </c>
      <c r="F44" s="21" t="str">
        <f t="array" aca="1" ref="F44" ca="1">IF($J44&gt;=9999999,"",INDEX(BASE!$E$2:$E$136,MATCH($J44,BASE!$G$2:$G$136,0)))</f>
        <v>13/01/2027</v>
      </c>
      <c r="G44" s="19">
        <f t="array" aca="1" ref="G44" ca="1">IF($J44&gt;=9999999,"",INDEX(BASE!$F$2:$F$136,MATCH($J44,BASE!$G$2:$G$136,0)))</f>
        <v>131</v>
      </c>
      <c r="H44" s="18"/>
      <c r="I44" s="18"/>
      <c r="J44" s="10">
        <f ca="1">SMALL(BASE!$G$2:$G$136,30)</f>
        <v>131.0008</v>
      </c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 spans="1:25" ht="16.5" customHeight="1" x14ac:dyDescent="0.3">
      <c r="B45" s="19">
        <f ca="1">IF($J45&gt;=9999999,"",31)</f>
        <v>31</v>
      </c>
      <c r="C45" s="19" t="str">
        <f t="array" aca="1" ref="C45" ca="1">IF($J45&gt;=9999999,"",INDEX(BASE!$A$2:$A$136,MATCH($J45,BASE!$G$2:$G$136,0)))</f>
        <v>Condutor</v>
      </c>
      <c r="D45" s="20" t="str">
        <f t="array" aca="1" ref="D45" ca="1">IF($J45&gt;=9999999,"",IF(INDEX(BASE!$C$2:$C$136,MATCH($J45,BASE!$G$2:$G$136,0))=0,"",INDEX(BASE!$C$2:$C$136,MATCH($J45,BASE!$G$2:$G$136,0))))</f>
        <v>LUCAS RANGEL SAMUEL</v>
      </c>
      <c r="E45" s="19" t="str">
        <f t="array" aca="1" ref="E45" ca="1">IF($J45&gt;=9999999,"",INDEX(BASE!$D$2:$D$136,MATCH($J45,BASE!$G$2:$G$136,0)))</f>
        <v>TEM PERFIL</v>
      </c>
      <c r="F45" s="21" t="str">
        <f t="array" aca="1" ref="F45" ca="1">IF($J45&gt;=9999999,"",INDEX(BASE!$E$2:$E$136,MATCH($J45,BASE!$G$2:$G$136,0)))</f>
        <v>13/01/2027</v>
      </c>
      <c r="G45" s="19">
        <f t="array" aca="1" ref="G45" ca="1">IF($J45&gt;=9999999,"",INDEX(BASE!$F$2:$F$136,MATCH($J45,BASE!$G$2:$G$136,0)))</f>
        <v>131</v>
      </c>
      <c r="H45" s="18"/>
      <c r="I45" s="18"/>
      <c r="J45" s="10">
        <f ca="1">SMALL(BASE!$G$2:$G$136,31)</f>
        <v>131.00081</v>
      </c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 spans="1:25" ht="16.5" customHeight="1" x14ac:dyDescent="0.3">
      <c r="A46" s="22"/>
      <c r="B46" s="23">
        <f ca="1">IF($J46&gt;=9999999,"",32)</f>
        <v>32</v>
      </c>
      <c r="C46" s="23" t="str">
        <f t="array" aca="1" ref="C46" ca="1">IF($J46&gt;=9999999,"",INDEX(BASE!$A$2:$A$136,MATCH($J46,BASE!$G$2:$G$136,0)))</f>
        <v>Condutor</v>
      </c>
      <c r="D46" s="24" t="str">
        <f t="array" aca="1" ref="D46" ca="1">IF($J46&gt;=9999999,"",IF(INDEX(BASE!$C$2:$C$136,MATCH($J46,BASE!$G$2:$G$136,0))=0,"",INDEX(BASE!$C$2:$C$136,MATCH($J46,BASE!$G$2:$G$136,0))))</f>
        <v>ALEX HOMERO DA SILVA</v>
      </c>
      <c r="E46" s="23" t="str">
        <f t="array" aca="1" ref="E46" ca="1">IF($J46&gt;=9999999,"",INDEX(BASE!$D$2:$D$136,MATCH($J46,BASE!$G$2:$G$136,0)))</f>
        <v>TEM PERFIL</v>
      </c>
      <c r="F46" s="25" t="str">
        <f t="array" aca="1" ref="F46" ca="1">IF($J46&gt;=9999999,"",INDEX(BASE!$E$2:$E$136,MATCH($J46,BASE!$G$2:$G$136,0)))</f>
        <v>13/01/2027</v>
      </c>
      <c r="G46" s="23">
        <f t="array" aca="1" ref="G46" ca="1">IF($J46&gt;=9999999,"",INDEX(BASE!$F$2:$F$136,MATCH($J46,BASE!$G$2:$G$136,0)))</f>
        <v>131</v>
      </c>
      <c r="H46" s="18"/>
      <c r="I46" s="18"/>
      <c r="J46" s="10">
        <f ca="1">SMALL(BASE!$G$2:$G$136,32)</f>
        <v>131.00085000000001</v>
      </c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 spans="1:25" ht="16.5" customHeight="1" x14ac:dyDescent="0.3">
      <c r="A47" s="22"/>
      <c r="B47" s="23">
        <f ca="1">IF($J47&gt;=9999999,"",33)</f>
        <v>33</v>
      </c>
      <c r="C47" s="23" t="str">
        <f t="array" aca="1" ref="C47" ca="1">IF($J47&gt;=9999999,"",INDEX(BASE!$A$2:$A$136,MATCH($J47,BASE!$G$2:$G$136,0)))</f>
        <v>Condutor</v>
      </c>
      <c r="D47" s="24" t="str">
        <f t="array" aca="1" ref="D47" ca="1">IF($J47&gt;=9999999,"",IF(INDEX(BASE!$C$2:$C$136,MATCH($J47,BASE!$G$2:$G$136,0))=0,"",INDEX(BASE!$C$2:$C$136,MATCH($J47,BASE!$G$2:$G$136,0))))</f>
        <v>ANTONIO CARLOS DOS SANTOS XAVIER</v>
      </c>
      <c r="E47" s="23" t="str">
        <f t="array" aca="1" ref="E47" ca="1">IF($J47&gt;=9999999,"",INDEX(BASE!$D$2:$D$136,MATCH($J47,BASE!$G$2:$G$136,0)))</f>
        <v>TEM PERFIL</v>
      </c>
      <c r="F47" s="25" t="str">
        <f t="array" aca="1" ref="F47" ca="1">IF($J47&gt;=9999999,"",INDEX(BASE!$E$2:$E$136,MATCH($J47,BASE!$G$2:$G$136,0)))</f>
        <v>14/01/2027</v>
      </c>
      <c r="G47" s="23">
        <f t="array" aca="1" ref="G47" ca="1">IF($J47&gt;=9999999,"",INDEX(BASE!$F$2:$F$136,MATCH($J47,BASE!$G$2:$G$136,0)))</f>
        <v>132</v>
      </c>
      <c r="J47" s="10">
        <f ca="1">SMALL(BASE!$G$2:$G$136,33)</f>
        <v>132.00035</v>
      </c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 spans="1:25" ht="16.5" customHeight="1" x14ac:dyDescent="0.3">
      <c r="A48" s="22"/>
      <c r="B48" s="23">
        <f ca="1">IF($J48&gt;=9999999,"",34)</f>
        <v>34</v>
      </c>
      <c r="C48" s="23" t="str">
        <f t="array" aca="1" ref="C48" ca="1">IF($J48&gt;=9999999,"",INDEX(BASE!$A$2:$A$136,MATCH($J48,BASE!$G$2:$G$136,0)))</f>
        <v>Condutor</v>
      </c>
      <c r="D48" s="24" t="str">
        <f t="array" aca="1" ref="D48" ca="1">IF($J48&gt;=9999999,"",IF(INDEX(BASE!$C$2:$C$136,MATCH($J48,BASE!$G$2:$G$136,0))=0,"",INDEX(BASE!$C$2:$C$136,MATCH($J48,BASE!$G$2:$G$136,0))))</f>
        <v>GLEDSON PEREIRA FRANCISCO</v>
      </c>
      <c r="E48" s="23" t="str">
        <f t="array" aca="1" ref="E48" ca="1">IF($J48&gt;=9999999,"",INDEX(BASE!$D$2:$D$136,MATCH($J48,BASE!$G$2:$G$136,0)))</f>
        <v>TEM PERFIL</v>
      </c>
      <c r="F48" s="25" t="str">
        <f t="array" aca="1" ref="F48" ca="1">IF($J48&gt;=9999999,"",INDEX(BASE!$E$2:$E$136,MATCH($J48,BASE!$G$2:$G$136,0)))</f>
        <v>14/01/2027</v>
      </c>
      <c r="G48" s="23">
        <f t="array" aca="1" ref="G48" ca="1">IF($J48&gt;=9999999,"",INDEX(BASE!$F$2:$F$136,MATCH($J48,BASE!$G$2:$G$136,0)))</f>
        <v>132</v>
      </c>
      <c r="J48" s="10">
        <f ca="1">SMALL(BASE!$G$2:$G$136,34)</f>
        <v>132.00092000000001</v>
      </c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 spans="1:25" ht="16.5" customHeight="1" x14ac:dyDescent="0.3">
      <c r="A49" s="22"/>
      <c r="B49" s="23">
        <f ca="1">IF($J49&gt;=9999999,"",35)</f>
        <v>35</v>
      </c>
      <c r="C49" s="23" t="str">
        <f t="array" aca="1" ref="C49" ca="1">IF($J49&gt;=9999999,"",INDEX(BASE!$A$2:$A$136,MATCH($J49,BASE!$G$2:$G$136,0)))</f>
        <v>Condutor</v>
      </c>
      <c r="D49" s="24" t="str">
        <f t="array" aca="1" ref="D49" ca="1">IF($J49&gt;=9999999,"",IF(INDEX(BASE!$C$2:$C$136,MATCH($J49,BASE!$G$2:$G$136,0))=0,"",INDEX(BASE!$C$2:$C$136,MATCH($J49,BASE!$G$2:$G$136,0))))</f>
        <v>AUGUSTO CESAR DA APARECIDA</v>
      </c>
      <c r="E49" s="23" t="str">
        <f t="array" aca="1" ref="E49" ca="1">IF($J49&gt;=9999999,"",INDEX(BASE!$D$2:$D$136,MATCH($J49,BASE!$G$2:$G$136,0)))</f>
        <v>TEM PERFIL</v>
      </c>
      <c r="F49" s="25" t="str">
        <f t="array" aca="1" ref="F49" ca="1">IF($J49&gt;=9999999,"",INDEX(BASE!$E$2:$E$136,MATCH($J49,BASE!$G$2:$G$136,0)))</f>
        <v>14/01/2027</v>
      </c>
      <c r="G49" s="23">
        <f t="array" aca="1" ref="G49" ca="1">IF($J49&gt;=9999999,"",INDEX(BASE!$F$2:$F$136,MATCH($J49,BASE!$G$2:$G$136,0)))</f>
        <v>132</v>
      </c>
      <c r="J49" s="10">
        <f ca="1">SMALL(BASE!$G$2:$G$136,35)</f>
        <v>132.00093000000001</v>
      </c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 spans="1:25" ht="16.5" customHeight="1" x14ac:dyDescent="0.3">
      <c r="A50" s="22"/>
      <c r="B50" s="23">
        <f ca="1">IF($J50&gt;=9999999,"",36)</f>
        <v>36</v>
      </c>
      <c r="C50" s="23" t="str">
        <f t="array" aca="1" ref="C50" ca="1">IF($J50&gt;=9999999,"",INDEX(BASE!$A$2:$A$136,MATCH($J50,BASE!$G$2:$G$136,0)))</f>
        <v>Condutor</v>
      </c>
      <c r="D50" s="24" t="str">
        <f t="array" aca="1" ref="D50" ca="1">IF($J50&gt;=9999999,"",IF(INDEX(BASE!$C$2:$C$136,MATCH($J50,BASE!$G$2:$G$136,0))=0,"",INDEX(BASE!$C$2:$C$136,MATCH($J50,BASE!$G$2:$G$136,0))))</f>
        <v>FRANKLIN DE AZEVEDO RIBEIRO</v>
      </c>
      <c r="E50" s="23" t="str">
        <f t="array" aca="1" ref="E50" ca="1">IF($J50&gt;=9999999,"",INDEX(BASE!$D$2:$D$136,MATCH($J50,BASE!$G$2:$G$136,0)))</f>
        <v>TEM PERFIL</v>
      </c>
      <c r="F50" s="25" t="str">
        <f t="array" aca="1" ref="F50" ca="1">IF($J50&gt;=9999999,"",INDEX(BASE!$E$2:$E$136,MATCH($J50,BASE!$G$2:$G$136,0)))</f>
        <v>15/01/2027</v>
      </c>
      <c r="G50" s="23">
        <f t="array" aca="1" ref="G50" ca="1">IF($J50&gt;=9999999,"",INDEX(BASE!$F$2:$F$136,MATCH($J50,BASE!$G$2:$G$136,0)))</f>
        <v>133</v>
      </c>
      <c r="J50" s="10">
        <f ca="1">SMALL(BASE!$G$2:$G$136,36)</f>
        <v>133.00086999999999</v>
      </c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 spans="1:25" ht="16.5" customHeight="1" x14ac:dyDescent="0.3">
      <c r="B51" s="26">
        <f ca="1">IF($J51&gt;=9999999,"",37)</f>
        <v>37</v>
      </c>
      <c r="C51" s="26" t="str">
        <f t="array" aca="1" ref="C51" ca="1">IF($J51&gt;=9999999,"",INDEX(BASE!$A$2:$A$136,MATCH($J51,BASE!$G$2:$G$136,0)))</f>
        <v>Condutor</v>
      </c>
      <c r="D51" s="27" t="str">
        <f t="array" aca="1" ref="D51" ca="1">IF($J51&gt;=9999999,"",IF(INDEX(BASE!$C$2:$C$136,MATCH($J51,BASE!$G$2:$G$136,0))=0,"",INDEX(BASE!$C$2:$C$136,MATCH($J51,BASE!$G$2:$G$136,0))))</f>
        <v>MANOEL MESSIAS SANTANA DA SILVA</v>
      </c>
      <c r="E51" s="26" t="str">
        <f t="array" aca="1" ref="E51" ca="1">IF($J51&gt;=9999999,"",INDEX(BASE!$D$2:$D$136,MATCH($J51,BASE!$G$2:$G$136,0)))</f>
        <v>TEM PERFIL</v>
      </c>
      <c r="F51" s="28" t="str">
        <f t="array" aca="1" ref="F51" ca="1">IF($J51&gt;=9999999,"",INDEX(BASE!$E$2:$E$136,MATCH($J51,BASE!$G$2:$G$136,0)))</f>
        <v>15/01/2027</v>
      </c>
      <c r="G51" s="26">
        <f t="array" aca="1" ref="G51" ca="1">IF($J51&gt;=9999999,"",INDEX(BASE!$F$2:$F$136,MATCH($J51,BASE!$G$2:$G$136,0)))</f>
        <v>133</v>
      </c>
      <c r="J51" s="10">
        <f ca="1">SMALL(BASE!$G$2:$G$136,37)</f>
        <v>133.00089</v>
      </c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 spans="1:25" ht="16.5" customHeight="1" x14ac:dyDescent="0.3">
      <c r="B52" s="23">
        <f ca="1">IF($J52&gt;=9999999,"",38)</f>
        <v>38</v>
      </c>
      <c r="C52" s="23" t="str">
        <f t="array" aca="1" ref="C52" ca="1">IF($J52&gt;=9999999,"",INDEX(BASE!$A$2:$A$136,MATCH($J52,BASE!$G$2:$G$136,0)))</f>
        <v>Condutor</v>
      </c>
      <c r="D52" s="24" t="str">
        <f t="array" aca="1" ref="D52" ca="1">IF($J52&gt;=9999999,"",IF(INDEX(BASE!$C$2:$C$136,MATCH($J52,BASE!$G$2:$G$136,0))=0,"",INDEX(BASE!$C$2:$C$136,MATCH($J52,BASE!$G$2:$G$136,0))))</f>
        <v>VICTOR GOMES CATTA PRETA</v>
      </c>
      <c r="E52" s="23" t="str">
        <f t="array" aca="1" ref="E52" ca="1">IF($J52&gt;=9999999,"",INDEX(BASE!$D$2:$D$136,MATCH($J52,BASE!$G$2:$G$136,0)))</f>
        <v>TEM PERFIL</v>
      </c>
      <c r="F52" s="25" t="str">
        <f t="array" aca="1" ref="F52" ca="1">IF($J52&gt;=9999999,"",INDEX(BASE!$E$2:$E$136,MATCH($J52,BASE!$G$2:$G$136,0)))</f>
        <v>15/01/2027</v>
      </c>
      <c r="G52" s="23">
        <f t="array" aca="1" ref="G52" ca="1">IF($J52&gt;=9999999,"",INDEX(BASE!$F$2:$F$136,MATCH($J52,BASE!$G$2:$G$136,0)))</f>
        <v>133</v>
      </c>
      <c r="J52" s="10">
        <f ca="1">SMALL(BASE!$G$2:$G$136,38)</f>
        <v>133.00091</v>
      </c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 spans="1:25" ht="16.5" customHeight="1" x14ac:dyDescent="0.3">
      <c r="B53" s="23">
        <f ca="1">IF($J53&gt;=9999999,"",39)</f>
        <v>39</v>
      </c>
      <c r="C53" s="23" t="str">
        <f t="array" aca="1" ref="C53" ca="1">IF($J53&gt;=9999999,"",INDEX(BASE!$A$2:$A$136,MATCH($J53,BASE!$G$2:$G$136,0)))</f>
        <v>Condutor</v>
      </c>
      <c r="D53" s="24" t="str">
        <f t="array" aca="1" ref="D53" ca="1">IF($J53&gt;=9999999,"",IF(INDEX(BASE!$C$2:$C$136,MATCH($J53,BASE!$G$2:$G$136,0))=0,"",INDEX(BASE!$C$2:$C$136,MATCH($J53,BASE!$G$2:$G$136,0))))</f>
        <v>AILTON DA SILVA FERREIRA</v>
      </c>
      <c r="E53" s="23" t="str">
        <f t="array" aca="1" ref="E53" ca="1">IF($J53&gt;=9999999,"",INDEX(BASE!$D$2:$D$136,MATCH($J53,BASE!$G$2:$G$136,0)))</f>
        <v>TEM PERFIL</v>
      </c>
      <c r="F53" s="25">
        <f t="array" aca="1" ref="F53" ca="1">IF($J53&gt;=9999999,"",INDEX(BASE!$E$2:$E$136,MATCH($J53,BASE!$G$2:$G$136,0)))</f>
        <v>46406</v>
      </c>
      <c r="G53" s="23">
        <f t="array" aca="1" ref="G53" ca="1">IF($J53&gt;=9999999,"",INDEX(BASE!$F$2:$F$136,MATCH($J53,BASE!$G$2:$G$136,0)))</f>
        <v>137</v>
      </c>
      <c r="J53" s="10">
        <f ca="1">SMALL(BASE!$G$2:$G$136,39)</f>
        <v>137.00032999999999</v>
      </c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 spans="1:25" ht="16.5" customHeight="1" x14ac:dyDescent="0.3">
      <c r="B54" s="23">
        <f ca="1">IF($J54&gt;=9999999,"",40)</f>
        <v>40</v>
      </c>
      <c r="C54" s="23" t="str">
        <f t="array" aca="1" ref="C54" ca="1">IF($J54&gt;=9999999,"",INDEX(BASE!$A$2:$A$136,MATCH($J54,BASE!$G$2:$G$136,0)))</f>
        <v>Condutor</v>
      </c>
      <c r="D54" s="24" t="str">
        <f t="array" aca="1" ref="D54" ca="1">IF($J54&gt;=9999999,"",IF(INDEX(BASE!$C$2:$C$136,MATCH($J54,BASE!$G$2:$G$136,0))=0,"",INDEX(BASE!$C$2:$C$136,MATCH($J54,BASE!$G$2:$G$136,0))))</f>
        <v>CLEVERTON DOS SANTOS</v>
      </c>
      <c r="E54" s="23" t="str">
        <f t="array" aca="1" ref="E54" ca="1">IF($J54&gt;=9999999,"",INDEX(BASE!$D$2:$D$136,MATCH($J54,BASE!$G$2:$G$136,0)))</f>
        <v>TEM PERFIL</v>
      </c>
      <c r="F54" s="25">
        <f t="array" aca="1" ref="F54" ca="1">IF($J54&gt;=9999999,"",INDEX(BASE!$E$2:$E$136,MATCH($J54,BASE!$G$2:$G$136,0)))</f>
        <v>46406</v>
      </c>
      <c r="G54" s="23">
        <f t="array" aca="1" ref="G54" ca="1">IF($J54&gt;=9999999,"",INDEX(BASE!$F$2:$F$136,MATCH($J54,BASE!$G$2:$G$136,0)))</f>
        <v>137</v>
      </c>
      <c r="J54" s="10">
        <f ca="1">SMALL(BASE!$G$2:$G$136,40)</f>
        <v>137.00094999999999</v>
      </c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 spans="1:25" ht="16.5" customHeight="1" x14ac:dyDescent="0.3">
      <c r="B55" s="23">
        <f ca="1">IF($J55&gt;=9999999,"",41)</f>
        <v>41</v>
      </c>
      <c r="C55" s="23" t="str">
        <f t="array" aca="1" ref="C55" ca="1">IF($J55&gt;=9999999,"",INDEX(BASE!$A$2:$A$136,MATCH($J55,BASE!$G$2:$G$136,0)))</f>
        <v>Condutor</v>
      </c>
      <c r="D55" s="24" t="str">
        <f t="array" aca="1" ref="D55" ca="1">IF($J55&gt;=9999999,"",IF(INDEX(BASE!$C$2:$C$136,MATCH($J55,BASE!$G$2:$G$136,0))=0,"",INDEX(BASE!$C$2:$C$136,MATCH($J55,BASE!$G$2:$G$136,0))))</f>
        <v>WESLEY DOS SANTOS SOUZA</v>
      </c>
      <c r="E55" s="23" t="str">
        <f t="array" aca="1" ref="E55" ca="1">IF($J55&gt;=9999999,"",INDEX(BASE!$D$2:$D$136,MATCH($J55,BASE!$G$2:$G$136,0)))</f>
        <v>TEM PERFIL</v>
      </c>
      <c r="F55" s="25">
        <f t="array" aca="1" ref="F55" ca="1">IF($J55&gt;=9999999,"",INDEX(BASE!$E$2:$E$136,MATCH($J55,BASE!$G$2:$G$136,0)))</f>
        <v>46406</v>
      </c>
      <c r="G55" s="23">
        <f t="array" aca="1" ref="G55" ca="1">IF($J55&gt;=9999999,"",INDEX(BASE!$F$2:$F$136,MATCH($J55,BASE!$G$2:$G$136,0)))</f>
        <v>137</v>
      </c>
      <c r="J55" s="10">
        <f ca="1">SMALL(BASE!$G$2:$G$136,41)</f>
        <v>137.00095999999999</v>
      </c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 spans="1:25" ht="16.5" customHeight="1" x14ac:dyDescent="0.3">
      <c r="B56" s="23">
        <f ca="1">IF($J56&gt;=9999999,"",42)</f>
        <v>42</v>
      </c>
      <c r="C56" s="23" t="str">
        <f t="array" aca="1" ref="C56" ca="1">IF($J56&gt;=9999999,"",INDEX(BASE!$A$2:$A$136,MATCH($J56,BASE!$G$2:$G$136,0)))</f>
        <v>Condutor</v>
      </c>
      <c r="D56" s="24" t="str">
        <f t="array" aca="1" ref="D56" ca="1">IF($J56&gt;=9999999,"",IF(INDEX(BASE!$C$2:$C$136,MATCH($J56,BASE!$G$2:$G$136,0))=0,"",INDEX(BASE!$C$2:$C$136,MATCH($J56,BASE!$G$2:$G$136,0))))</f>
        <v>GLEIDSON CALIXTO DO SANTOS</v>
      </c>
      <c r="E56" s="23" t="str">
        <f t="array" aca="1" ref="E56" ca="1">IF($J56&gt;=9999999,"",INDEX(BASE!$D$2:$D$136,MATCH($J56,BASE!$G$2:$G$136,0)))</f>
        <v>TEM PERFIL</v>
      </c>
      <c r="F56" s="25">
        <f t="array" aca="1" ref="F56" ca="1">IF($J56&gt;=9999999,"",INDEX(BASE!$E$2:$E$136,MATCH($J56,BASE!$G$2:$G$136,0)))</f>
        <v>46406</v>
      </c>
      <c r="G56" s="23">
        <f t="array" aca="1" ref="G56" ca="1">IF($J56&gt;=9999999,"",INDEX(BASE!$F$2:$F$136,MATCH($J56,BASE!$G$2:$G$136,0)))</f>
        <v>137</v>
      </c>
      <c r="J56" s="10">
        <f ca="1">SMALL(BASE!$G$2:$G$136,42)</f>
        <v>137.00097</v>
      </c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 spans="1:25" ht="16.5" customHeight="1" x14ac:dyDescent="0.3">
      <c r="B57" s="23">
        <f ca="1">IF($J57&gt;=9999999,"",43)</f>
        <v>43</v>
      </c>
      <c r="C57" s="23" t="str">
        <f t="array" aca="1" ref="C57" ca="1">IF($J57&gt;=9999999,"",INDEX(BASE!$A$2:$A$136,MATCH($J57,BASE!$G$2:$G$136,0)))</f>
        <v>Condutor</v>
      </c>
      <c r="D57" s="24" t="str">
        <f t="array" aca="1" ref="D57" ca="1">IF($J57&gt;=9999999,"",IF(INDEX(BASE!$C$2:$C$136,MATCH($J57,BASE!$G$2:$G$136,0))=0,"",INDEX(BASE!$C$2:$C$136,MATCH($J57,BASE!$G$2:$G$136,0))))</f>
        <v>ALEXANDRE AMORIM DE SOUZA</v>
      </c>
      <c r="E57" s="23" t="str">
        <f t="array" aca="1" ref="E57" ca="1">IF($J57&gt;=9999999,"",INDEX(BASE!$D$2:$D$136,MATCH($J57,BASE!$G$2:$G$136,0)))</f>
        <v>TEM PERFIL</v>
      </c>
      <c r="F57" s="25" t="str">
        <f t="array" aca="1" ref="F57" ca="1">IF($J57&gt;=9999999,"",INDEX(BASE!$E$2:$E$136,MATCH($J57,BASE!$G$2:$G$136,0)))</f>
        <v>19/01/2027</v>
      </c>
      <c r="G57" s="23">
        <f t="array" aca="1" ref="G57" ca="1">IF($J57&gt;=9999999,"",INDEX(BASE!$F$2:$F$136,MATCH($J57,BASE!$G$2:$G$136,0)))</f>
        <v>137</v>
      </c>
      <c r="J57" s="10">
        <f ca="1">SMALL(BASE!$G$2:$G$136,43)</f>
        <v>137.00110000000001</v>
      </c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 spans="1:25" ht="16.5" customHeight="1" x14ac:dyDescent="0.3">
      <c r="B58" s="23">
        <f ca="1">IF($J58&gt;=9999999,"",44)</f>
        <v>44</v>
      </c>
      <c r="C58" s="23" t="str">
        <f t="array" aca="1" ref="C58" ca="1">IF($J58&gt;=9999999,"",INDEX(BASE!$A$2:$A$136,MATCH($J58,BASE!$G$2:$G$136,0)))</f>
        <v>Funcionário</v>
      </c>
      <c r="D58" s="24" t="str">
        <f t="array" aca="1" ref="D58" ca="1">IF($J58&gt;=9999999,"",IF(INDEX(BASE!$C$2:$C$136,MATCH($J58,BASE!$G$2:$G$136,0))=0,"",INDEX(BASE!$C$2:$C$136,MATCH($J58,BASE!$G$2:$G$136,0))))</f>
        <v>CLEVERTON DOS SANTOS</v>
      </c>
      <c r="E58" s="23" t="str">
        <f t="array" aca="1" ref="E58" ca="1">IF($J58&gt;=9999999,"",INDEX(BASE!$D$2:$D$136,MATCH($J58,BASE!$G$2:$G$136,0)))</f>
        <v>TEM PERFIL</v>
      </c>
      <c r="F58" s="25" t="str">
        <f t="array" aca="1" ref="F58" ca="1">IF($J58&gt;=9999999,"",INDEX(BASE!$E$2:$E$136,MATCH($J58,BASE!$G$2:$G$136,0)))</f>
        <v>19/01/2027</v>
      </c>
      <c r="G58" s="23">
        <f t="array" aca="1" ref="G58" ca="1">IF($J58&gt;=9999999,"",INDEX(BASE!$F$2:$F$136,MATCH($J58,BASE!$G$2:$G$136,0)))</f>
        <v>137</v>
      </c>
      <c r="J58" s="10">
        <f ca="1">SMALL(BASE!$G$2:$G$136,44)</f>
        <v>137.00121999999999</v>
      </c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 spans="1:25" ht="16.5" customHeight="1" x14ac:dyDescent="0.3">
      <c r="B59" s="23">
        <f ca="1">IF($J59&gt;=9999999,"",45)</f>
        <v>45</v>
      </c>
      <c r="C59" s="23" t="str">
        <f t="array" aca="1" ref="C59" ca="1">IF($J59&gt;=9999999,"",INDEX(BASE!$A$2:$A$136,MATCH($J59,BASE!$G$2:$G$136,0)))</f>
        <v>Funcionário</v>
      </c>
      <c r="D59" s="24" t="str">
        <f t="array" aca="1" ref="D59" ca="1">IF($J59&gt;=9999999,"",IF(INDEX(BASE!$C$2:$C$136,MATCH($J59,BASE!$G$2:$G$136,0))=0,"",INDEX(BASE!$C$2:$C$136,MATCH($J59,BASE!$G$2:$G$136,0))))</f>
        <v>MATHEUS TEIXEIRA MEDEIROS MACHADO</v>
      </c>
      <c r="E59" s="23" t="str">
        <f t="array" aca="1" ref="E59" ca="1">IF($J59&gt;=9999999,"",INDEX(BASE!$D$2:$D$136,MATCH($J59,BASE!$G$2:$G$136,0)))</f>
        <v>TEM PERFIL</v>
      </c>
      <c r="F59" s="25">
        <f t="array" aca="1" ref="F59" ca="1">IF($J59&gt;=9999999,"",INDEX(BASE!$E$2:$E$136,MATCH($J59,BASE!$G$2:$G$136,0)))</f>
        <v>46406</v>
      </c>
      <c r="G59" s="23">
        <f t="array" aca="1" ref="G59" ca="1">IF($J59&gt;=9999999,"",INDEX(BASE!$F$2:$F$136,MATCH($J59,BASE!$G$2:$G$136,0)))</f>
        <v>137</v>
      </c>
      <c r="J59" s="10">
        <f ca="1">SMALL(BASE!$G$2:$G$136,45)</f>
        <v>137.00124</v>
      </c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 spans="1:25" ht="16.5" customHeight="1" x14ac:dyDescent="0.3">
      <c r="B60" s="23">
        <f ca="1">IF($J60&gt;=9999999,"",46)</f>
        <v>46</v>
      </c>
      <c r="C60" s="23" t="str">
        <f t="array" aca="1" ref="C60" ca="1">IF($J60&gt;=9999999,"",INDEX(BASE!$A$2:$A$136,MATCH($J60,BASE!$G$2:$G$136,0)))</f>
        <v>Funcionário</v>
      </c>
      <c r="D60" s="24" t="str">
        <f t="array" aca="1" ref="D60" ca="1">IF($J60&gt;=9999999,"",IF(INDEX(BASE!$C$2:$C$136,MATCH($J60,BASE!$G$2:$G$136,0))=0,"",INDEX(BASE!$C$2:$C$136,MATCH($J60,BASE!$G$2:$G$136,0))))</f>
        <v>RAPHAEL AZEVEDO MAIA</v>
      </c>
      <c r="E60" s="23" t="str">
        <f t="array" aca="1" ref="E60" ca="1">IF($J60&gt;=9999999,"",INDEX(BASE!$D$2:$D$136,MATCH($J60,BASE!$G$2:$G$136,0)))</f>
        <v>TEM PERFIL</v>
      </c>
      <c r="F60" s="25">
        <f t="array" aca="1" ref="F60" ca="1">IF($J60&gt;=9999999,"",INDEX(BASE!$E$2:$E$136,MATCH($J60,BASE!$G$2:$G$136,0)))</f>
        <v>46406</v>
      </c>
      <c r="G60" s="23">
        <f t="array" aca="1" ref="G60" ca="1">IF($J60&gt;=9999999,"",INDEX(BASE!$F$2:$F$136,MATCH($J60,BASE!$G$2:$G$136,0)))</f>
        <v>137</v>
      </c>
      <c r="J60" s="10">
        <f ca="1">SMALL(BASE!$G$2:$G$136,46)</f>
        <v>137.00125</v>
      </c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 spans="1:25" ht="16.5" customHeight="1" x14ac:dyDescent="0.3">
      <c r="B61" s="23">
        <f ca="1">IF($J61&gt;=9999999,"",47)</f>
        <v>47</v>
      </c>
      <c r="C61" s="23" t="str">
        <f t="array" aca="1" ref="C61" ca="1">IF($J61&gt;=9999999,"",INDEX(BASE!$A$2:$A$136,MATCH($J61,BASE!$G$2:$G$136,0)))</f>
        <v>Funcionário</v>
      </c>
      <c r="D61" s="24" t="str">
        <f t="array" aca="1" ref="D61" ca="1">IF($J61&gt;=9999999,"",IF(INDEX(BASE!$C$2:$C$136,MATCH($J61,BASE!$G$2:$G$136,0))=0,"",INDEX(BASE!$C$2:$C$136,MATCH($J61,BASE!$G$2:$G$136,0))))</f>
        <v>MARCIO GEORGE SAMPAIO DE FARIAS</v>
      </c>
      <c r="E61" s="23" t="str">
        <f t="array" aca="1" ref="E61" ca="1">IF($J61&gt;=9999999,"",INDEX(BASE!$D$2:$D$136,MATCH($J61,BASE!$G$2:$G$136,0)))</f>
        <v>TEM PERFIL</v>
      </c>
      <c r="F61" s="25">
        <f t="array" aca="1" ref="F61" ca="1">IF($J61&gt;=9999999,"",INDEX(BASE!$E$2:$E$136,MATCH($J61,BASE!$G$2:$G$136,0)))</f>
        <v>46406</v>
      </c>
      <c r="G61" s="23">
        <f t="array" aca="1" ref="G61" ca="1">IF($J61&gt;=9999999,"",INDEX(BASE!$F$2:$F$136,MATCH($J61,BASE!$G$2:$G$136,0)))</f>
        <v>137</v>
      </c>
      <c r="J61" s="10">
        <f ca="1">SMALL(BASE!$G$2:$G$136,47)</f>
        <v>137.00126</v>
      </c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 spans="1:25" ht="16.5" customHeight="1" x14ac:dyDescent="0.3">
      <c r="B62" s="23">
        <f ca="1">IF($J62&gt;=9999999,"",48)</f>
        <v>48</v>
      </c>
      <c r="C62" s="23" t="str">
        <f t="array" aca="1" ref="C62" ca="1">IF($J62&gt;=9999999,"",INDEX(BASE!$A$2:$A$136,MATCH($J62,BASE!$G$2:$G$136,0)))</f>
        <v>Condutor</v>
      </c>
      <c r="D62" s="24" t="str">
        <f t="array" aca="1" ref="D62" ca="1">IF($J62&gt;=9999999,"",IF(INDEX(BASE!$C$2:$C$136,MATCH($J62,BASE!$G$2:$G$136,0))=0,"",INDEX(BASE!$C$2:$C$136,MATCH($J62,BASE!$G$2:$G$136,0))))</f>
        <v>GILBERTO DA SILVA MIGUEL JUNIOR</v>
      </c>
      <c r="E62" s="23" t="str">
        <f t="array" aca="1" ref="E62" ca="1">IF($J62&gt;=9999999,"",INDEX(BASE!$D$2:$D$136,MATCH($J62,BASE!$G$2:$G$136,0)))</f>
        <v>TEM PERFIL</v>
      </c>
      <c r="F62" s="25" t="str">
        <f t="array" aca="1" ref="F62" ca="1">IF($J62&gt;=9999999,"",INDEX(BASE!$E$2:$E$136,MATCH($J62,BASE!$G$2:$G$136,0)))</f>
        <v>26/01/2027</v>
      </c>
      <c r="G62" s="23">
        <f t="array" aca="1" ref="G62" ca="1">IF($J62&gt;=9999999,"",INDEX(BASE!$F$2:$F$136,MATCH($J62,BASE!$G$2:$G$136,0)))</f>
        <v>144</v>
      </c>
      <c r="J62" s="10">
        <f ca="1">SMALL(BASE!$G$2:$G$136,48)</f>
        <v>144.00108</v>
      </c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 spans="1:25" ht="16.5" customHeight="1" x14ac:dyDescent="0.3">
      <c r="B63" s="23">
        <f ca="1">IF($J63&gt;=9999999,"",49)</f>
        <v>49</v>
      </c>
      <c r="C63" s="23" t="str">
        <f t="array" aca="1" ref="C63" ca="1">IF($J63&gt;=9999999,"",INDEX(BASE!$A$2:$A$136,MATCH($J63,BASE!$G$2:$G$136,0)))</f>
        <v>Condutor</v>
      </c>
      <c r="D63" s="24" t="str">
        <f t="array" aca="1" ref="D63" ca="1">IF($J63&gt;=9999999,"",IF(INDEX(BASE!$C$2:$C$136,MATCH($J63,BASE!$G$2:$G$136,0))=0,"",INDEX(BASE!$C$2:$C$136,MATCH($J63,BASE!$G$2:$G$136,0))))</f>
        <v>ALISSON SANTOS VELOSO</v>
      </c>
      <c r="E63" s="23" t="str">
        <f t="array" aca="1" ref="E63" ca="1">IF($J63&gt;=9999999,"",INDEX(BASE!$D$2:$D$136,MATCH($J63,BASE!$G$2:$G$136,0)))</f>
        <v>TEM PERFIL</v>
      </c>
      <c r="F63" s="25" t="str">
        <f t="array" aca="1" ref="F63" ca="1">IF($J63&gt;=9999999,"",INDEX(BASE!$E$2:$E$136,MATCH($J63,BASE!$G$2:$G$136,0)))</f>
        <v>26/01/2027</v>
      </c>
      <c r="G63" s="23">
        <f t="array" aca="1" ref="G63" ca="1">IF($J63&gt;=9999999,"",INDEX(BASE!$F$2:$F$136,MATCH($J63,BASE!$G$2:$G$136,0)))</f>
        <v>144</v>
      </c>
      <c r="J63" s="10">
        <f ca="1">SMALL(BASE!$G$2:$G$136,49)</f>
        <v>144.00109</v>
      </c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 spans="1:25" ht="16.5" customHeight="1" x14ac:dyDescent="0.3">
      <c r="B64" s="23">
        <f ca="1">IF($J64&gt;=9999999,"",50)</f>
        <v>50</v>
      </c>
      <c r="C64" s="23" t="str">
        <f t="array" aca="1" ref="C64" ca="1">IF($J64&gt;=9999999,"",INDEX(BASE!$A$2:$A$136,MATCH($J64,BASE!$G$2:$G$136,0)))</f>
        <v>Veículo</v>
      </c>
      <c r="D64" s="24" t="str">
        <f t="array" aca="1" ref="D64" ca="1">IF($J64&gt;=9999999,"",IF(INDEX(BASE!$C$2:$C$136,MATCH($J64,BASE!$G$2:$G$136,0))=0,"",INDEX(BASE!$C$2:$C$136,MATCH($J64,BASE!$G$2:$G$136,0))))</f>
        <v/>
      </c>
      <c r="E64" s="23" t="str">
        <f t="array" aca="1" ref="E64" ca="1">IF($J64&gt;=9999999,"",INDEX(BASE!$D$2:$D$136,MATCH($J64,BASE!$G$2:$G$136,0)))</f>
        <v>TEM PERFIL</v>
      </c>
      <c r="F64" s="25" t="str">
        <f t="array" aca="1" ref="F64" ca="1">IF($J64&gt;=9999999,"",INDEX(BASE!$E$2:$E$136,MATCH($J64,BASE!$G$2:$G$136,0)))</f>
        <v>28/01/2027</v>
      </c>
      <c r="G64" s="23">
        <f t="array" aca="1" ref="G64" ca="1">IF($J64&gt;=9999999,"",INDEX(BASE!$F$2:$F$136,MATCH($J64,BASE!$G$2:$G$136,0)))</f>
        <v>146</v>
      </c>
      <c r="J64" s="10">
        <f ca="1">SMALL(BASE!$G$2:$G$136,50)</f>
        <v>146.00018</v>
      </c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 spans="2:25" ht="16.5" customHeight="1" x14ac:dyDescent="0.3">
      <c r="B65" s="23">
        <f ca="1">IF($J65&gt;=9999999,"",51)</f>
        <v>51</v>
      </c>
      <c r="C65" s="23" t="str">
        <f t="array" aca="1" ref="C65" ca="1">IF($J65&gt;=9999999,"",INDEX(BASE!$A$2:$A$136,MATCH($J65,BASE!$G$2:$G$136,0)))</f>
        <v>Veículo</v>
      </c>
      <c r="D65" s="24" t="str">
        <f t="array" aca="1" ref="D65" ca="1">IF($J65&gt;=9999999,"",IF(INDEX(BASE!$C$2:$C$136,MATCH($J65,BASE!$G$2:$G$136,0))=0,"",INDEX(BASE!$C$2:$C$136,MATCH($J65,BASE!$G$2:$G$136,0))))</f>
        <v/>
      </c>
      <c r="E65" s="23" t="str">
        <f t="array" aca="1" ref="E65" ca="1">IF($J65&gt;=9999999,"",INDEX(BASE!$D$2:$D$136,MATCH($J65,BASE!$G$2:$G$136,0)))</f>
        <v>TEM PERFIL</v>
      </c>
      <c r="F65" s="23" t="str">
        <f t="array" aca="1" ref="F65" ca="1">IF($J65&gt;=9999999,"",INDEX(BASE!$E$2:$E$136,MATCH($J65,BASE!$G$2:$G$136,0)))</f>
        <v>28/01/2027</v>
      </c>
      <c r="G65" s="23">
        <f t="array" aca="1" ref="G65" ca="1">IF($J65&gt;=9999999,"",INDEX(BASE!$F$2:$F$136,MATCH($J65,BASE!$G$2:$G$136,0)))</f>
        <v>146</v>
      </c>
      <c r="J65" s="10">
        <f ca="1">SMALL(BASE!$G$2:$G$136,51)</f>
        <v>146.00019</v>
      </c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 spans="2:25" ht="16.5" customHeight="1" x14ac:dyDescent="0.3">
      <c r="B66" s="23">
        <f ca="1">IF($J66&gt;=9999999,"",52)</f>
        <v>52</v>
      </c>
      <c r="C66" s="23" t="str">
        <f t="array" aca="1" ref="C66" ca="1">IF($J66&gt;=9999999,"",INDEX(BASE!$A$2:$A$136,MATCH($J66,BASE!$G$2:$G$136,0)))</f>
        <v>Veículo</v>
      </c>
      <c r="D66" s="24" t="str">
        <f t="array" aca="1" ref="D66" ca="1">IF($J66&gt;=9999999,"",IF(INDEX(BASE!$C$2:$C$136,MATCH($J66,BASE!$G$2:$G$136,0))=0,"",INDEX(BASE!$C$2:$C$136,MATCH($J66,BASE!$G$2:$G$136,0))))</f>
        <v/>
      </c>
      <c r="E66" s="23" t="str">
        <f t="array" aca="1" ref="E66" ca="1">IF($J66&gt;=9999999,"",INDEX(BASE!$D$2:$D$136,MATCH($J66,BASE!$G$2:$G$136,0)))</f>
        <v>TEM PERFIL</v>
      </c>
      <c r="F66" s="23" t="str">
        <f t="array" aca="1" ref="F66" ca="1">IF($J66&gt;=9999999,"",INDEX(BASE!$E$2:$E$136,MATCH($J66,BASE!$G$2:$G$136,0)))</f>
        <v>28/01/2027</v>
      </c>
      <c r="G66" s="23">
        <f t="array" aca="1" ref="G66" ca="1">IF($J66&gt;=9999999,"",INDEX(BASE!$F$2:$F$136,MATCH($J66,BASE!$G$2:$G$136,0)))</f>
        <v>146</v>
      </c>
      <c r="J66" s="10">
        <f ca="1">SMALL(BASE!$G$2:$G$136,52)</f>
        <v>146.00021000000001</v>
      </c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 spans="2:25" ht="16.5" customHeight="1" x14ac:dyDescent="0.3">
      <c r="B67" s="23">
        <f ca="1">IF($J67&gt;=9999999,"",53)</f>
        <v>53</v>
      </c>
      <c r="C67" s="23" t="str">
        <f t="array" aca="1" ref="C67" ca="1">IF($J67&gt;=9999999,"",INDEX(BASE!$A$2:$A$136,MATCH($J67,BASE!$G$2:$G$136,0)))</f>
        <v>Veículo</v>
      </c>
      <c r="D67" s="24" t="str">
        <f t="array" aca="1" ref="D67" ca="1">IF($J67&gt;=9999999,"",IF(INDEX(BASE!$C$2:$C$136,MATCH($J67,BASE!$G$2:$G$136,0))=0,"",INDEX(BASE!$C$2:$C$136,MATCH($J67,BASE!$G$2:$G$136,0))))</f>
        <v/>
      </c>
      <c r="E67" s="23" t="str">
        <f t="array" aca="1" ref="E67" ca="1">IF($J67&gt;=9999999,"",INDEX(BASE!$D$2:$D$136,MATCH($J67,BASE!$G$2:$G$136,0)))</f>
        <v>TEM PERFIL</v>
      </c>
      <c r="F67" s="25" t="str">
        <f t="array" aca="1" ref="F67" ca="1">IF($J67&gt;=9999999,"",INDEX(BASE!$E$2:$E$136,MATCH($J67,BASE!$G$2:$G$136,0)))</f>
        <v>28/01/2027</v>
      </c>
      <c r="G67" s="23">
        <f t="array" aca="1" ref="G67" ca="1">IF($J67&gt;=9999999,"",INDEX(BASE!$F$2:$F$136,MATCH($J67,BASE!$G$2:$G$136,0)))</f>
        <v>146</v>
      </c>
      <c r="J67" s="10">
        <f ca="1">SMALL(BASE!$G$2:$G$136,53)</f>
        <v>146.00022000000001</v>
      </c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 spans="2:25" ht="16.5" customHeight="1" x14ac:dyDescent="0.3">
      <c r="B68" s="23">
        <f ca="1">IF($J68&gt;=9999999,"",54)</f>
        <v>54</v>
      </c>
      <c r="C68" s="23" t="str">
        <f t="array" aca="1" ref="C68" ca="1">IF($J68&gt;=9999999,"",INDEX(BASE!$A$2:$A$136,MATCH($J68,BASE!$G$2:$G$136,0)))</f>
        <v>Veículo</v>
      </c>
      <c r="D68" s="24" t="str">
        <f t="array" aca="1" ref="D68" ca="1">IF($J68&gt;=9999999,"",IF(INDEX(BASE!$C$2:$C$136,MATCH($J68,BASE!$G$2:$G$136,0))=0,"",INDEX(BASE!$C$2:$C$136,MATCH($J68,BASE!$G$2:$G$136,0))))</f>
        <v/>
      </c>
      <c r="E68" s="23" t="str">
        <f t="array" aca="1" ref="E68" ca="1">IF($J68&gt;=9999999,"",INDEX(BASE!$D$2:$D$136,MATCH($J68,BASE!$G$2:$G$136,0)))</f>
        <v>TEM PERFIL</v>
      </c>
      <c r="F68" s="25" t="str">
        <f t="array" aca="1" ref="F68" ca="1">IF($J68&gt;=9999999,"",INDEX(BASE!$E$2:$E$136,MATCH($J68,BASE!$G$2:$G$136,0)))</f>
        <v>28/01/2027</v>
      </c>
      <c r="G68" s="23">
        <f t="array" aca="1" ref="G68" ca="1">IF($J68&gt;=9999999,"",INDEX(BASE!$F$2:$F$136,MATCH($J68,BASE!$G$2:$G$136,0)))</f>
        <v>146</v>
      </c>
      <c r="J68" s="10">
        <f ca="1">SMALL(BASE!$G$2:$G$136,54)</f>
        <v>146.00022999999999</v>
      </c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 spans="2:25" ht="16.5" customHeight="1" x14ac:dyDescent="0.3">
      <c r="B69" s="23">
        <f ca="1">IF($J69&gt;=9999999,"",55)</f>
        <v>55</v>
      </c>
      <c r="C69" s="23" t="str">
        <f t="array" aca="1" ref="C69" ca="1">IF($J69&gt;=9999999,"",INDEX(BASE!$A$2:$A$136,MATCH($J69,BASE!$G$2:$G$136,0)))</f>
        <v>Veículo</v>
      </c>
      <c r="D69" s="24" t="str">
        <f t="array" aca="1" ref="D69" ca="1">IF($J69&gt;=9999999,"",IF(INDEX(BASE!$C$2:$C$136,MATCH($J69,BASE!$G$2:$G$136,0))=0,"",INDEX(BASE!$C$2:$C$136,MATCH($J69,BASE!$G$2:$G$136,0))))</f>
        <v/>
      </c>
      <c r="E69" s="23" t="str">
        <f t="array" aca="1" ref="E69" ca="1">IF($J69&gt;=9999999,"",INDEX(BASE!$D$2:$D$136,MATCH($J69,BASE!$G$2:$G$136,0)))</f>
        <v>TEM PERFIL</v>
      </c>
      <c r="F69" s="23" t="str">
        <f t="array" aca="1" ref="F69" ca="1">IF($J69&gt;=9999999,"",INDEX(BASE!$E$2:$E$136,MATCH($J69,BASE!$G$2:$G$136,0)))</f>
        <v>28/01/2027</v>
      </c>
      <c r="G69" s="23">
        <f t="array" aca="1" ref="G69" ca="1">IF($J69&gt;=9999999,"",INDEX(BASE!$F$2:$F$136,MATCH($J69,BASE!$G$2:$G$136,0)))</f>
        <v>146</v>
      </c>
      <c r="J69" s="10">
        <f ca="1">SMALL(BASE!$G$2:$G$136,55)</f>
        <v>146.00023999999999</v>
      </c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 spans="2:25" ht="16.5" customHeight="1" x14ac:dyDescent="0.3">
      <c r="B70" s="23">
        <f ca="1">IF($J70&gt;=9999999,"",56)</f>
        <v>56</v>
      </c>
      <c r="C70" s="23" t="str">
        <f t="array" aca="1" ref="C70" ca="1">IF($J70&gt;=9999999,"",INDEX(BASE!$A$2:$A$136,MATCH($J70,BASE!$G$2:$G$136,0)))</f>
        <v>Condutor</v>
      </c>
      <c r="D70" s="24" t="str">
        <f t="array" aca="1" ref="D70" ca="1">IF($J70&gt;=9999999,"",IF(INDEX(BASE!$C$2:$C$136,MATCH($J70,BASE!$G$2:$G$136,0))=0,"",INDEX(BASE!$C$2:$C$136,MATCH($J70,BASE!$G$2:$G$136,0))))</f>
        <v>JOSÉ ROBERTO DA SILVA</v>
      </c>
      <c r="E70" s="23" t="str">
        <f t="array" aca="1" ref="E70" ca="1">IF($J70&gt;=9999999,"",INDEX(BASE!$D$2:$D$136,MATCH($J70,BASE!$G$2:$G$136,0)))</f>
        <v>TEM PERFIL</v>
      </c>
      <c r="F70" s="25" t="str">
        <f t="array" aca="1" ref="F70" ca="1">IF($J70&gt;=9999999,"",INDEX(BASE!$E$2:$E$136,MATCH($J70,BASE!$G$2:$G$136,0)))</f>
        <v>28/01/2027</v>
      </c>
      <c r="G70" s="23">
        <f t="array" aca="1" ref="G70" ca="1">IF($J70&gt;=9999999,"",INDEX(BASE!$F$2:$F$136,MATCH($J70,BASE!$G$2:$G$136,0)))</f>
        <v>146</v>
      </c>
      <c r="J70" s="10">
        <f ca="1">SMALL(BASE!$G$2:$G$136,56)</f>
        <v>146.00049999999999</v>
      </c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 spans="2:25" ht="16.5" customHeight="1" x14ac:dyDescent="0.3">
      <c r="B71" s="23">
        <f ca="1">IF($J71&gt;=9999999,"",57)</f>
        <v>57</v>
      </c>
      <c r="C71" s="23" t="str">
        <f t="array" aca="1" ref="C71" ca="1">IF($J71&gt;=9999999,"",INDEX(BASE!$A$2:$A$136,MATCH($J71,BASE!$G$2:$G$136,0)))</f>
        <v>Condutor</v>
      </c>
      <c r="D71" s="24" t="str">
        <f t="array" aca="1" ref="D71" ca="1">IF($J71&gt;=9999999,"",IF(INDEX(BASE!$C$2:$C$136,MATCH($J71,BASE!$G$2:$G$136,0))=0,"",INDEX(BASE!$C$2:$C$136,MATCH($J71,BASE!$G$2:$G$136,0))))</f>
        <v>EVANERIO FONTES LUZ</v>
      </c>
      <c r="E71" s="23" t="str">
        <f t="array" aca="1" ref="E71" ca="1">IF($J71&gt;=9999999,"",INDEX(BASE!$D$2:$D$136,MATCH($J71,BASE!$G$2:$G$136,0)))</f>
        <v>TEM PERFIL</v>
      </c>
      <c r="F71" s="29" t="str">
        <f t="array" aca="1" ref="F71" ca="1">IF($J71&gt;=9999999,"",INDEX(BASE!$E$2:$E$136,MATCH($J71,BASE!$G$2:$G$136,0)))</f>
        <v>28/01/2027</v>
      </c>
      <c r="G71" s="23">
        <f t="array" aca="1" ref="G71" ca="1">IF($J71&gt;=9999999,"",INDEX(BASE!$F$2:$F$136,MATCH($J71,BASE!$G$2:$G$136,0)))</f>
        <v>146</v>
      </c>
      <c r="J71" s="10">
        <f ca="1">SMALL(BASE!$G$2:$G$136,57)</f>
        <v>146.00073</v>
      </c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 spans="2:25" ht="16.5" customHeight="1" x14ac:dyDescent="0.3">
      <c r="B72" s="23">
        <f ca="1">IF($J72&gt;=9999999,"",58)</f>
        <v>58</v>
      </c>
      <c r="C72" s="23" t="str">
        <f t="array" aca="1" ref="C72" ca="1">IF($J72&gt;=9999999,"",INDEX(BASE!$A$2:$A$136,MATCH($J72,BASE!$G$2:$G$136,0)))</f>
        <v>Condutor</v>
      </c>
      <c r="D72" s="24" t="str">
        <f t="array" aca="1" ref="D72" ca="1">IF($J72&gt;=9999999,"",IF(INDEX(BASE!$C$2:$C$136,MATCH($J72,BASE!$G$2:$G$136,0))=0,"",INDEX(BASE!$C$2:$C$136,MATCH($J72,BASE!$G$2:$G$136,0))))</f>
        <v>EVANILDO MANOEL DE FARIAS</v>
      </c>
      <c r="E72" s="23" t="str">
        <f t="array" aca="1" ref="E72" ca="1">IF($J72&gt;=9999999,"",INDEX(BASE!$D$2:$D$136,MATCH($J72,BASE!$G$2:$G$136,0)))</f>
        <v>TEM PERFIL</v>
      </c>
      <c r="F72" s="29" t="str">
        <f t="array" aca="1" ref="F72" ca="1">IF($J72&gt;=9999999,"",INDEX(BASE!$E$2:$E$136,MATCH($J72,BASE!$G$2:$G$136,0)))</f>
        <v>28/01/2027</v>
      </c>
      <c r="G72" s="23">
        <f t="array" aca="1" ref="G72" ca="1">IF($J72&gt;=9999999,"",INDEX(BASE!$F$2:$F$136,MATCH($J72,BASE!$G$2:$G$136,0)))</f>
        <v>146</v>
      </c>
      <c r="J72" s="10">
        <f ca="1">SMALL(BASE!$G$2:$G$136,58)</f>
        <v>146.00083000000001</v>
      </c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 spans="2:25" ht="16.5" customHeight="1" x14ac:dyDescent="0.3">
      <c r="B73" s="23">
        <f ca="1">IF($J73&gt;=9999999,"",59)</f>
        <v>59</v>
      </c>
      <c r="C73" s="23" t="str">
        <f t="array" aca="1" ref="C73" ca="1">IF($J73&gt;=9999999,"",INDEX(BASE!$A$2:$A$136,MATCH($J73,BASE!$G$2:$G$136,0)))</f>
        <v>Condutor</v>
      </c>
      <c r="D73" s="24" t="str">
        <f t="array" aca="1" ref="D73" ca="1">IF($J73&gt;=9999999,"",IF(INDEX(BASE!$C$2:$C$136,MATCH($J73,BASE!$G$2:$G$136,0))=0,"",INDEX(BASE!$C$2:$C$136,MATCH($J73,BASE!$G$2:$G$136,0))))</f>
        <v>VITOR PAULO ZAMBALDI</v>
      </c>
      <c r="E73" s="23" t="str">
        <f t="array" aca="1" ref="E73" ca="1">IF($J73&gt;=9999999,"",INDEX(BASE!$D$2:$D$136,MATCH($J73,BASE!$G$2:$G$136,0)))</f>
        <v>TEM PERFIL</v>
      </c>
      <c r="F73" s="29" t="str">
        <f t="array" aca="1" ref="F73" ca="1">IF($J73&gt;=9999999,"",INDEX(BASE!$E$2:$E$136,MATCH($J73,BASE!$G$2:$G$136,0)))</f>
        <v>28/01/2027</v>
      </c>
      <c r="G73" s="23">
        <f t="array" aca="1" ref="G73" ca="1">IF($J73&gt;=9999999,"",INDEX(BASE!$F$2:$F$136,MATCH($J73,BASE!$G$2:$G$136,0)))</f>
        <v>146</v>
      </c>
      <c r="J73" s="10">
        <f ca="1">SMALL(BASE!$G$2:$G$136,59)</f>
        <v>146.00104999999999</v>
      </c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 spans="2:25" ht="16.5" customHeight="1" x14ac:dyDescent="0.3">
      <c r="B74" s="23">
        <f ca="1">IF($J74&gt;=9999999,"",60)</f>
        <v>60</v>
      </c>
      <c r="C74" s="23" t="str">
        <f t="array" aca="1" ref="C74" ca="1">IF($J74&gt;=9999999,"",INDEX(BASE!$A$2:$A$136,MATCH($J74,BASE!$G$2:$G$136,0)))</f>
        <v>Condutor</v>
      </c>
      <c r="D74" s="24" t="str">
        <f t="array" aca="1" ref="D74" ca="1">IF($J74&gt;=9999999,"",IF(INDEX(BASE!$C$2:$C$136,MATCH($J74,BASE!$G$2:$G$136,0))=0,"",INDEX(BASE!$C$2:$C$136,MATCH($J74,BASE!$G$2:$G$136,0))))</f>
        <v>FABIO SALES DE OLIVEIRA</v>
      </c>
      <c r="E74" s="23" t="str">
        <f t="array" aca="1" ref="E74" ca="1">IF($J74&gt;=9999999,"",INDEX(BASE!$D$2:$D$136,MATCH($J74,BASE!$G$2:$G$136,0)))</f>
        <v>TEM PERFIL</v>
      </c>
      <c r="F74" s="25" t="str">
        <f t="array" aca="1" ref="F74" ca="1">IF($J74&gt;=9999999,"",INDEX(BASE!$E$2:$E$136,MATCH($J74,BASE!$G$2:$G$136,0)))</f>
        <v>28/01/2027</v>
      </c>
      <c r="G74" s="23">
        <f t="array" aca="1" ref="G74" ca="1">IF($J74&gt;=9999999,"",INDEX(BASE!$F$2:$F$136,MATCH($J74,BASE!$G$2:$G$136,0)))</f>
        <v>146</v>
      </c>
      <c r="J74" s="10">
        <f ca="1">SMALL(BASE!$G$2:$G$136,60)</f>
        <v>146.00106</v>
      </c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 spans="2:25" ht="15.75" customHeight="1" x14ac:dyDescent="0.3">
      <c r="B75" s="22"/>
      <c r="C75" s="22"/>
      <c r="D75" s="22"/>
      <c r="E75" s="22"/>
      <c r="F75" s="22"/>
      <c r="G75" s="22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 spans="2:25" ht="15.75" customHeight="1" x14ac:dyDescent="0.3">
      <c r="B76" s="22"/>
      <c r="C76" s="22"/>
      <c r="D76" s="22"/>
      <c r="E76" s="22"/>
      <c r="F76" s="22"/>
      <c r="G76" s="22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 spans="2:25" ht="15.75" customHeight="1" x14ac:dyDescent="0.3">
      <c r="B77" s="22"/>
      <c r="C77" s="22"/>
      <c r="D77" s="22"/>
      <c r="E77" s="22"/>
      <c r="F77" s="22"/>
      <c r="G77" s="22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 spans="2:25" ht="15.75" customHeight="1" x14ac:dyDescent="0.3">
      <c r="B78" s="22"/>
      <c r="C78" s="22"/>
      <c r="D78" s="22"/>
      <c r="E78" s="22"/>
      <c r="F78" s="22"/>
      <c r="G78" s="22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 spans="2:25" ht="15.75" customHeight="1" x14ac:dyDescent="0.3">
      <c r="B79" s="22"/>
      <c r="C79" s="22"/>
      <c r="D79" s="22"/>
      <c r="E79" s="22"/>
      <c r="F79" s="22"/>
      <c r="G79" s="22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 spans="2:25" ht="15.75" customHeight="1" x14ac:dyDescent="0.3">
      <c r="B80" s="22"/>
      <c r="C80" s="22"/>
      <c r="D80" s="22"/>
      <c r="E80" s="22"/>
      <c r="F80" s="22"/>
      <c r="G80" s="22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 spans="2:25" ht="15.75" customHeight="1" x14ac:dyDescent="0.3">
      <c r="B81" s="22"/>
      <c r="C81" s="22"/>
      <c r="D81" s="22"/>
      <c r="E81" s="22"/>
      <c r="F81" s="22"/>
      <c r="G81" s="22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 spans="2:25" ht="15.75" customHeight="1" x14ac:dyDescent="0.3">
      <c r="B82" s="22"/>
      <c r="C82" s="22"/>
      <c r="D82" s="22"/>
      <c r="E82" s="22"/>
      <c r="F82" s="22"/>
      <c r="G82" s="22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 spans="2:25" ht="15.75" customHeight="1" x14ac:dyDescent="0.3">
      <c r="B83" s="22"/>
      <c r="C83" s="22"/>
      <c r="D83" s="22"/>
      <c r="E83" s="22"/>
      <c r="F83" s="22"/>
      <c r="G83" s="22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 spans="2:25" ht="15.75" customHeight="1" x14ac:dyDescent="0.3">
      <c r="B84" s="22"/>
      <c r="C84" s="22"/>
      <c r="D84" s="22"/>
      <c r="E84" s="22"/>
      <c r="F84" s="22"/>
      <c r="G84" s="22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 spans="2:25" ht="15.75" customHeight="1" x14ac:dyDescent="0.3">
      <c r="B85" s="22"/>
      <c r="C85" s="22"/>
      <c r="D85" s="22"/>
      <c r="E85" s="22"/>
      <c r="F85" s="22"/>
      <c r="G85" s="22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 spans="2:25" ht="15.75" customHeight="1" x14ac:dyDescent="0.3">
      <c r="B86" s="22"/>
      <c r="C86" s="22"/>
      <c r="D86" s="22"/>
      <c r="E86" s="22"/>
      <c r="F86" s="22"/>
      <c r="G86" s="22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 spans="2:25" ht="15.75" customHeight="1" x14ac:dyDescent="0.3">
      <c r="B87" s="22"/>
      <c r="C87" s="22"/>
      <c r="D87" s="22"/>
      <c r="E87" s="22"/>
      <c r="F87" s="22"/>
      <c r="G87" s="22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 spans="2:25" ht="15.75" customHeight="1" x14ac:dyDescent="0.3">
      <c r="B88" s="22"/>
      <c r="C88" s="22"/>
      <c r="D88" s="22"/>
      <c r="E88" s="22"/>
      <c r="F88" s="22"/>
      <c r="G88" s="22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 spans="2:25" ht="15.75" customHeight="1" x14ac:dyDescent="0.3">
      <c r="B89" s="22"/>
      <c r="C89" s="22"/>
      <c r="D89" s="22"/>
      <c r="E89" s="22"/>
      <c r="F89" s="22"/>
      <c r="G89" s="22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 spans="2:25" ht="15.75" customHeight="1" x14ac:dyDescent="0.3">
      <c r="B90" s="22"/>
      <c r="C90" s="22"/>
      <c r="D90" s="22"/>
      <c r="E90" s="22"/>
      <c r="F90" s="22"/>
      <c r="G90" s="22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 spans="2:25" ht="15.75" customHeight="1" x14ac:dyDescent="0.3">
      <c r="B91" s="22"/>
      <c r="C91" s="22"/>
      <c r="D91" s="22"/>
      <c r="E91" s="22"/>
      <c r="F91" s="22"/>
      <c r="G91" s="22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 spans="2:25" ht="15.75" customHeight="1" x14ac:dyDescent="0.3">
      <c r="B92" s="22"/>
      <c r="C92" s="22"/>
      <c r="D92" s="22"/>
      <c r="E92" s="22"/>
      <c r="F92" s="22"/>
      <c r="G92" s="22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 spans="2:25" ht="15.75" customHeight="1" x14ac:dyDescent="0.3">
      <c r="B93" s="22"/>
      <c r="C93" s="22"/>
      <c r="D93" s="22"/>
      <c r="E93" s="22"/>
      <c r="F93" s="22"/>
      <c r="G93" s="22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 spans="2:25" ht="15.75" customHeight="1" x14ac:dyDescent="0.3">
      <c r="B94" s="22"/>
      <c r="C94" s="22"/>
      <c r="D94" s="22"/>
      <c r="E94" s="22"/>
      <c r="F94" s="22"/>
      <c r="G94" s="22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 spans="2:25" ht="15.75" customHeight="1" x14ac:dyDescent="0.3">
      <c r="B95" s="22"/>
      <c r="C95" s="22"/>
      <c r="D95" s="22"/>
      <c r="E95" s="22"/>
      <c r="F95" s="22"/>
      <c r="G95" s="22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 spans="2:25" ht="15.75" customHeight="1" x14ac:dyDescent="0.3">
      <c r="B96" s="22"/>
      <c r="C96" s="22"/>
      <c r="D96" s="22"/>
      <c r="E96" s="22"/>
      <c r="F96" s="22"/>
      <c r="G96" s="22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 spans="2:25" ht="15.75" customHeight="1" x14ac:dyDescent="0.3">
      <c r="B97" s="22"/>
      <c r="C97" s="22"/>
      <c r="D97" s="22"/>
      <c r="E97" s="22"/>
      <c r="F97" s="22"/>
      <c r="G97" s="22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 spans="2:25" ht="15.75" customHeight="1" x14ac:dyDescent="0.3">
      <c r="B98" s="22"/>
      <c r="C98" s="22"/>
      <c r="D98" s="22"/>
      <c r="E98" s="22"/>
      <c r="F98" s="22"/>
      <c r="G98" s="22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 spans="2:25" ht="15.75" customHeight="1" x14ac:dyDescent="0.3">
      <c r="B99" s="22"/>
      <c r="C99" s="22"/>
      <c r="D99" s="22"/>
      <c r="E99" s="22"/>
      <c r="F99" s="22"/>
      <c r="G99" s="22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 spans="2:25" ht="15.75" customHeight="1" x14ac:dyDescent="0.3">
      <c r="B100" s="22"/>
      <c r="C100" s="22"/>
      <c r="D100" s="22"/>
      <c r="E100" s="22"/>
      <c r="F100" s="22"/>
      <c r="G100" s="22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 spans="2:25" ht="15.75" customHeight="1" x14ac:dyDescent="0.3">
      <c r="B101" s="22"/>
      <c r="C101" s="22"/>
      <c r="D101" s="22"/>
      <c r="E101" s="22"/>
      <c r="F101" s="22"/>
      <c r="G101" s="22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 spans="2:25" ht="15.75" customHeight="1" x14ac:dyDescent="0.3">
      <c r="B102" s="22"/>
      <c r="C102" s="22"/>
      <c r="D102" s="22"/>
      <c r="E102" s="22"/>
      <c r="F102" s="22"/>
      <c r="G102" s="22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 spans="2:25" ht="15.75" customHeight="1" x14ac:dyDescent="0.3">
      <c r="B103" s="22"/>
      <c r="C103" s="22"/>
      <c r="D103" s="22"/>
      <c r="E103" s="22"/>
      <c r="F103" s="22"/>
      <c r="G103" s="22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 spans="2:25" ht="15.75" customHeight="1" x14ac:dyDescent="0.3">
      <c r="B104" s="22"/>
      <c r="C104" s="22"/>
      <c r="D104" s="22"/>
      <c r="E104" s="22"/>
      <c r="F104" s="22"/>
      <c r="G104" s="22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 spans="2:25" ht="15.75" customHeight="1" x14ac:dyDescent="0.3">
      <c r="B105" s="22"/>
      <c r="C105" s="22"/>
      <c r="D105" s="22"/>
      <c r="E105" s="22"/>
      <c r="F105" s="22"/>
      <c r="G105" s="22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 spans="2:25" ht="15.75" customHeight="1" x14ac:dyDescent="0.3">
      <c r="B106" s="22"/>
      <c r="C106" s="22"/>
      <c r="D106" s="22"/>
      <c r="E106" s="22"/>
      <c r="F106" s="22"/>
      <c r="G106" s="22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 spans="2:25" ht="15.75" customHeight="1" x14ac:dyDescent="0.3">
      <c r="B107" s="22"/>
      <c r="C107" s="22"/>
      <c r="D107" s="22"/>
      <c r="E107" s="22"/>
      <c r="F107" s="22"/>
      <c r="G107" s="22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 spans="2:25" ht="15.75" customHeight="1" x14ac:dyDescent="0.3">
      <c r="B108" s="22"/>
      <c r="C108" s="22"/>
      <c r="D108" s="22"/>
      <c r="E108" s="22"/>
      <c r="F108" s="22"/>
      <c r="G108" s="22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 spans="2:25" ht="15.75" customHeight="1" x14ac:dyDescent="0.3">
      <c r="B109" s="22"/>
      <c r="C109" s="22"/>
      <c r="D109" s="22"/>
      <c r="E109" s="22"/>
      <c r="F109" s="22"/>
      <c r="G109" s="22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 spans="2:25" ht="15.75" customHeight="1" x14ac:dyDescent="0.3">
      <c r="B110" s="22"/>
      <c r="C110" s="22"/>
      <c r="D110" s="22"/>
      <c r="E110" s="22"/>
      <c r="F110" s="22"/>
      <c r="G110" s="22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 spans="2:25" ht="15.75" customHeight="1" x14ac:dyDescent="0.3">
      <c r="B111" s="22"/>
      <c r="C111" s="22"/>
      <c r="D111" s="22"/>
      <c r="E111" s="22"/>
      <c r="F111" s="22"/>
      <c r="G111" s="22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 spans="2:25" ht="15.75" customHeight="1" x14ac:dyDescent="0.3">
      <c r="B112" s="22"/>
      <c r="C112" s="22"/>
      <c r="D112" s="22"/>
      <c r="E112" s="22"/>
      <c r="F112" s="22"/>
      <c r="G112" s="22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 spans="2:25" ht="15.75" customHeight="1" x14ac:dyDescent="0.3">
      <c r="B113" s="22"/>
      <c r="C113" s="22"/>
      <c r="D113" s="22"/>
      <c r="E113" s="22"/>
      <c r="F113" s="22"/>
      <c r="G113" s="22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 spans="2:25" ht="15.75" customHeight="1" x14ac:dyDescent="0.3">
      <c r="B114" s="22"/>
      <c r="C114" s="22"/>
      <c r="D114" s="22"/>
      <c r="E114" s="22"/>
      <c r="F114" s="22"/>
      <c r="G114" s="22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 spans="2:25" ht="15.75" customHeight="1" x14ac:dyDescent="0.3">
      <c r="B115" s="22"/>
      <c r="C115" s="22"/>
      <c r="D115" s="22"/>
      <c r="E115" s="22"/>
      <c r="F115" s="22"/>
      <c r="G115" s="22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 spans="2:25" ht="15.75" customHeight="1" x14ac:dyDescent="0.3">
      <c r="B116" s="22"/>
      <c r="C116" s="22"/>
      <c r="D116" s="22"/>
      <c r="E116" s="22"/>
      <c r="F116" s="22"/>
      <c r="G116" s="22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 spans="2:25" ht="15.75" customHeight="1" x14ac:dyDescent="0.3">
      <c r="B117" s="22"/>
      <c r="C117" s="22"/>
      <c r="D117" s="22"/>
      <c r="E117" s="22"/>
      <c r="F117" s="22"/>
      <c r="G117" s="22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 spans="2:25" ht="15.75" customHeight="1" x14ac:dyDescent="0.3">
      <c r="B118" s="22"/>
      <c r="C118" s="22"/>
      <c r="D118" s="22"/>
      <c r="E118" s="22"/>
      <c r="F118" s="22"/>
      <c r="G118" s="22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 spans="2:25" ht="15.75" customHeight="1" x14ac:dyDescent="0.3">
      <c r="B119" s="22"/>
      <c r="C119" s="22"/>
      <c r="D119" s="22"/>
      <c r="E119" s="22"/>
      <c r="F119" s="22"/>
      <c r="G119" s="22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 spans="2:25" ht="15.75" customHeight="1" x14ac:dyDescent="0.3">
      <c r="B120" s="22"/>
      <c r="C120" s="22"/>
      <c r="D120" s="22"/>
      <c r="E120" s="22"/>
      <c r="F120" s="22"/>
      <c r="G120" s="22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 spans="2:25" ht="15.75" customHeight="1" x14ac:dyDescent="0.3">
      <c r="B121" s="22"/>
      <c r="C121" s="22"/>
      <c r="D121" s="22"/>
      <c r="E121" s="22"/>
      <c r="F121" s="22"/>
      <c r="G121" s="22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 spans="2:25" ht="15.75" customHeight="1" x14ac:dyDescent="0.3">
      <c r="B122" s="22"/>
      <c r="C122" s="22"/>
      <c r="D122" s="22"/>
      <c r="E122" s="22"/>
      <c r="F122" s="22"/>
      <c r="G122" s="22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 spans="2:25" ht="15.75" customHeight="1" x14ac:dyDescent="0.3">
      <c r="B123" s="22"/>
      <c r="C123" s="22"/>
      <c r="D123" s="22"/>
      <c r="E123" s="22"/>
      <c r="F123" s="22"/>
      <c r="G123" s="22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 spans="2:25" ht="15.75" customHeight="1" x14ac:dyDescent="0.3">
      <c r="B124" s="22"/>
      <c r="C124" s="22"/>
      <c r="D124" s="22"/>
      <c r="E124" s="22"/>
      <c r="F124" s="22"/>
      <c r="G124" s="22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 spans="2:25" ht="15.75" customHeight="1" x14ac:dyDescent="0.3">
      <c r="B125" s="22"/>
      <c r="C125" s="22"/>
      <c r="D125" s="22"/>
      <c r="E125" s="22"/>
      <c r="F125" s="22"/>
      <c r="G125" s="22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 spans="2:25" ht="15.75" customHeight="1" x14ac:dyDescent="0.3">
      <c r="B126" s="22"/>
      <c r="C126" s="22"/>
      <c r="D126" s="22"/>
      <c r="E126" s="22"/>
      <c r="F126" s="22"/>
      <c r="G126" s="22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 spans="2:25" ht="15.75" customHeight="1" x14ac:dyDescent="0.3">
      <c r="B127" s="22"/>
      <c r="C127" s="22"/>
      <c r="D127" s="22"/>
      <c r="E127" s="22"/>
      <c r="F127" s="22"/>
      <c r="G127" s="22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 spans="2:25" ht="15.75" customHeight="1" x14ac:dyDescent="0.3">
      <c r="B128" s="22"/>
      <c r="C128" s="22"/>
      <c r="D128" s="22"/>
      <c r="E128" s="22"/>
      <c r="F128" s="22"/>
      <c r="G128" s="22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 spans="2:25" ht="15.75" customHeight="1" x14ac:dyDescent="0.3">
      <c r="B129" s="22"/>
      <c r="C129" s="22"/>
      <c r="D129" s="22"/>
      <c r="E129" s="22"/>
      <c r="F129" s="22"/>
      <c r="G129" s="22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 spans="2:25" ht="15.75" customHeight="1" x14ac:dyDescent="0.3">
      <c r="B130" s="22"/>
      <c r="C130" s="22"/>
      <c r="D130" s="22"/>
      <c r="E130" s="22"/>
      <c r="F130" s="22"/>
      <c r="G130" s="22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 spans="2:25" ht="15.75" customHeight="1" x14ac:dyDescent="0.3">
      <c r="B131" s="22"/>
      <c r="C131" s="22"/>
      <c r="D131" s="22"/>
      <c r="E131" s="22"/>
      <c r="F131" s="22"/>
      <c r="G131" s="22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 spans="2:25" ht="15.75" customHeight="1" x14ac:dyDescent="0.3">
      <c r="B132" s="22"/>
      <c r="C132" s="22"/>
      <c r="D132" s="22"/>
      <c r="E132" s="22"/>
      <c r="F132" s="22"/>
      <c r="G132" s="22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 spans="2:25" ht="15.75" customHeight="1" x14ac:dyDescent="0.3">
      <c r="B133" s="22"/>
      <c r="C133" s="22"/>
      <c r="D133" s="22"/>
      <c r="E133" s="22"/>
      <c r="F133" s="22"/>
      <c r="G133" s="22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 spans="2:25" ht="15.75" customHeight="1" x14ac:dyDescent="0.3">
      <c r="B134" s="22"/>
      <c r="C134" s="22"/>
      <c r="D134" s="22"/>
      <c r="E134" s="22"/>
      <c r="F134" s="22"/>
      <c r="G134" s="22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 spans="2:25" ht="15.75" customHeight="1" x14ac:dyDescent="0.3">
      <c r="B135" s="22"/>
      <c r="C135" s="22"/>
      <c r="D135" s="22"/>
      <c r="E135" s="22"/>
      <c r="F135" s="22"/>
      <c r="G135" s="22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 spans="2:25" ht="15.75" customHeight="1" x14ac:dyDescent="0.3">
      <c r="B136" s="22"/>
      <c r="C136" s="22"/>
      <c r="D136" s="22"/>
      <c r="E136" s="22"/>
      <c r="F136" s="22"/>
      <c r="G136" s="22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 spans="2:25" ht="15.75" customHeight="1" x14ac:dyDescent="0.3">
      <c r="B137" s="22"/>
      <c r="C137" s="22"/>
      <c r="D137" s="22"/>
      <c r="E137" s="22"/>
      <c r="F137" s="22"/>
      <c r="G137" s="22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 spans="2:25" ht="15.75" customHeight="1" x14ac:dyDescent="0.3">
      <c r="B138" s="22"/>
      <c r="C138" s="22"/>
      <c r="D138" s="22"/>
      <c r="E138" s="22"/>
      <c r="F138" s="22"/>
      <c r="G138" s="22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 spans="2:25" ht="15.75" customHeight="1" x14ac:dyDescent="0.3">
      <c r="B139" s="22"/>
      <c r="C139" s="22"/>
      <c r="D139" s="22"/>
      <c r="E139" s="22"/>
      <c r="F139" s="22"/>
      <c r="G139" s="22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 spans="2:25" ht="15.75" customHeight="1" x14ac:dyDescent="0.3">
      <c r="B140" s="22"/>
      <c r="C140" s="22"/>
      <c r="D140" s="22"/>
      <c r="E140" s="22"/>
      <c r="F140" s="22"/>
      <c r="G140" s="22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 spans="2:25" ht="15.75" customHeight="1" x14ac:dyDescent="0.3">
      <c r="B141" s="22"/>
      <c r="C141" s="22"/>
      <c r="D141" s="22"/>
      <c r="E141" s="22"/>
      <c r="F141" s="22"/>
      <c r="G141" s="22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 spans="2:25" ht="15.75" customHeight="1" x14ac:dyDescent="0.3">
      <c r="B142" s="22"/>
      <c r="C142" s="22"/>
      <c r="D142" s="22"/>
      <c r="E142" s="22"/>
      <c r="F142" s="22"/>
      <c r="G142" s="22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 spans="2:25" ht="15.75" customHeight="1" x14ac:dyDescent="0.3">
      <c r="B143" s="22"/>
      <c r="C143" s="22"/>
      <c r="D143" s="22"/>
      <c r="E143" s="22"/>
      <c r="F143" s="22"/>
      <c r="G143" s="22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 spans="2:25" ht="15.75" customHeight="1" x14ac:dyDescent="0.3">
      <c r="B144" s="22"/>
      <c r="C144" s="22"/>
      <c r="D144" s="22"/>
      <c r="E144" s="22"/>
      <c r="F144" s="22"/>
      <c r="G144" s="22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 spans="2:25" ht="15.75" customHeight="1" x14ac:dyDescent="0.3">
      <c r="B145" s="22"/>
      <c r="C145" s="22"/>
      <c r="D145" s="22"/>
      <c r="E145" s="22"/>
      <c r="F145" s="22"/>
      <c r="G145" s="22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 spans="2:25" ht="15.75" customHeight="1" x14ac:dyDescent="0.3">
      <c r="B146" s="22"/>
      <c r="C146" s="22"/>
      <c r="D146" s="22"/>
      <c r="E146" s="22"/>
      <c r="F146" s="22"/>
      <c r="G146" s="22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 spans="2:25" ht="15.75" customHeight="1" x14ac:dyDescent="0.3">
      <c r="B147" s="22"/>
      <c r="C147" s="22"/>
      <c r="D147" s="22"/>
      <c r="E147" s="22"/>
      <c r="F147" s="22"/>
      <c r="G147" s="22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 spans="2:25" ht="15.75" customHeight="1" x14ac:dyDescent="0.3">
      <c r="B148" s="22"/>
      <c r="C148" s="22"/>
      <c r="D148" s="22"/>
      <c r="E148" s="22"/>
      <c r="F148" s="22"/>
      <c r="G148" s="22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 spans="2:25" ht="15.75" customHeight="1" x14ac:dyDescent="0.3">
      <c r="B149" s="22"/>
      <c r="C149" s="22"/>
      <c r="D149" s="22"/>
      <c r="E149" s="22"/>
      <c r="F149" s="22"/>
      <c r="G149" s="22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 spans="2:25" ht="15.75" customHeight="1" x14ac:dyDescent="0.3">
      <c r="B150" s="22"/>
      <c r="C150" s="22"/>
      <c r="D150" s="22"/>
      <c r="E150" s="22"/>
      <c r="F150" s="22"/>
      <c r="G150" s="22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 spans="2:25" ht="15.75" customHeight="1" x14ac:dyDescent="0.3">
      <c r="B151" s="22"/>
      <c r="C151" s="22"/>
      <c r="D151" s="22"/>
      <c r="E151" s="22"/>
      <c r="F151" s="22"/>
      <c r="G151" s="22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 spans="2:25" ht="15.75" customHeight="1" x14ac:dyDescent="0.3">
      <c r="B152" s="22"/>
      <c r="C152" s="22"/>
      <c r="D152" s="22"/>
      <c r="E152" s="22"/>
      <c r="F152" s="22"/>
      <c r="G152" s="22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 spans="2:25" ht="15.75" customHeight="1" x14ac:dyDescent="0.3">
      <c r="B153" s="22"/>
      <c r="C153" s="22"/>
      <c r="D153" s="22"/>
      <c r="E153" s="22"/>
      <c r="F153" s="22"/>
      <c r="G153" s="22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 spans="2:25" ht="15.75" customHeight="1" x14ac:dyDescent="0.3">
      <c r="B154" s="22"/>
      <c r="C154" s="22"/>
      <c r="D154" s="22"/>
      <c r="E154" s="22"/>
      <c r="F154" s="22"/>
      <c r="G154" s="22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 spans="2:25" ht="15.75" customHeight="1" x14ac:dyDescent="0.3">
      <c r="B155" s="22"/>
      <c r="C155" s="22"/>
      <c r="D155" s="22"/>
      <c r="E155" s="22"/>
      <c r="F155" s="22"/>
      <c r="G155" s="22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 spans="2:25" ht="15.75" customHeight="1" x14ac:dyDescent="0.3">
      <c r="B156" s="22"/>
      <c r="C156" s="22"/>
      <c r="D156" s="22"/>
      <c r="E156" s="22"/>
      <c r="F156" s="22"/>
      <c r="G156" s="22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 spans="2:25" ht="15.75" customHeight="1" x14ac:dyDescent="0.3">
      <c r="B157" s="22"/>
      <c r="C157" s="22"/>
      <c r="D157" s="22"/>
      <c r="E157" s="22"/>
      <c r="F157" s="22"/>
      <c r="G157" s="22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 spans="2:25" ht="15.75" customHeight="1" x14ac:dyDescent="0.3"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 spans="2:25" ht="15.75" customHeight="1" x14ac:dyDescent="0.3"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 spans="2:25" ht="15.75" customHeight="1" x14ac:dyDescent="0.3"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 spans="11:25" ht="15.75" customHeight="1" x14ac:dyDescent="0.3"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 spans="11:25" ht="15.75" customHeight="1" x14ac:dyDescent="0.3"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 spans="11:25" ht="15.75" customHeight="1" x14ac:dyDescent="0.3"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 spans="11:25" ht="15.75" customHeight="1" x14ac:dyDescent="0.3"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 spans="11:25" ht="15.75" customHeight="1" x14ac:dyDescent="0.3"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 spans="11:25" ht="15.75" customHeight="1" x14ac:dyDescent="0.3"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 spans="11:25" ht="15.75" customHeight="1" x14ac:dyDescent="0.3"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 spans="11:25" ht="15.75" customHeight="1" x14ac:dyDescent="0.3"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 spans="11:25" ht="15.75" customHeight="1" x14ac:dyDescent="0.3"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 spans="11:25" ht="15.75" customHeight="1" x14ac:dyDescent="0.3"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 spans="11:25" ht="15.75" customHeight="1" x14ac:dyDescent="0.3"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 spans="11:25" ht="15.75" customHeight="1" x14ac:dyDescent="0.3"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 spans="11:25" ht="15.75" customHeight="1" x14ac:dyDescent="0.3"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 spans="11:25" ht="15.75" customHeight="1" x14ac:dyDescent="0.3"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 spans="11:25" ht="15.75" customHeight="1" x14ac:dyDescent="0.3"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 spans="11:25" ht="15.75" customHeight="1" x14ac:dyDescent="0.3"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 spans="11:25" ht="15.75" customHeight="1" x14ac:dyDescent="0.3"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 spans="11:25" ht="15.75" customHeight="1" x14ac:dyDescent="0.3"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 spans="11:25" ht="15.75" customHeight="1" x14ac:dyDescent="0.3"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 spans="11:25" ht="15.75" customHeight="1" x14ac:dyDescent="0.3"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 spans="11:25" ht="15.75" customHeight="1" x14ac:dyDescent="0.3"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 spans="11:25" ht="15.75" customHeight="1" x14ac:dyDescent="0.3"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 spans="11:25" ht="15.75" customHeight="1" x14ac:dyDescent="0.3"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 spans="11:25" ht="15.75" customHeight="1" x14ac:dyDescent="0.3"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 spans="11:25" ht="15.75" customHeight="1" x14ac:dyDescent="0.3"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 spans="11:25" ht="15.75" customHeight="1" x14ac:dyDescent="0.3"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 spans="11:25" ht="15.75" customHeight="1" x14ac:dyDescent="0.3"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 spans="11:25" ht="15.75" customHeight="1" x14ac:dyDescent="0.3"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 spans="11:25" ht="15.75" customHeight="1" x14ac:dyDescent="0.3"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 spans="11:25" ht="15.75" customHeight="1" x14ac:dyDescent="0.3"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 spans="11:25" ht="15.75" customHeight="1" x14ac:dyDescent="0.3"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 spans="11:25" ht="15.75" customHeight="1" x14ac:dyDescent="0.3"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 spans="11:25" ht="15.75" customHeight="1" x14ac:dyDescent="0.3"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 spans="11:25" ht="15.75" customHeight="1" x14ac:dyDescent="0.3"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 spans="11:25" ht="15.75" customHeight="1" x14ac:dyDescent="0.3"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 spans="11:25" ht="15.75" customHeight="1" x14ac:dyDescent="0.3"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 spans="11:25" ht="15.75" customHeight="1" x14ac:dyDescent="0.3"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 spans="11:25" ht="15.75" customHeight="1" x14ac:dyDescent="0.3"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 spans="11:25" ht="15.75" customHeight="1" x14ac:dyDescent="0.3"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 spans="11:25" ht="15.75" customHeight="1" x14ac:dyDescent="0.3"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 spans="11:25" ht="15.75" customHeight="1" x14ac:dyDescent="0.3"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 spans="11:25" ht="15.75" customHeight="1" x14ac:dyDescent="0.3"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 spans="11:25" ht="15.75" customHeight="1" x14ac:dyDescent="0.3"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 spans="11:25" ht="15.75" customHeight="1" x14ac:dyDescent="0.3"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 spans="11:25" ht="15.75" customHeight="1" x14ac:dyDescent="0.3"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 spans="11:25" ht="15.75" customHeight="1" x14ac:dyDescent="0.3"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 spans="11:25" ht="15.75" customHeight="1" x14ac:dyDescent="0.3"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 spans="11:25" ht="15.75" customHeight="1" x14ac:dyDescent="0.3"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 spans="11:25" ht="15.75" customHeight="1" x14ac:dyDescent="0.3"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 spans="11:25" ht="15.75" customHeight="1" x14ac:dyDescent="0.3"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 spans="11:25" ht="15.75" customHeight="1" x14ac:dyDescent="0.3"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 spans="11:25" ht="15.75" customHeight="1" x14ac:dyDescent="0.3"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 spans="11:25" ht="15.75" customHeight="1" x14ac:dyDescent="0.3"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 spans="11:25" ht="15.75" customHeight="1" x14ac:dyDescent="0.3"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 spans="11:25" ht="15.75" customHeight="1" x14ac:dyDescent="0.3"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 spans="11:25" ht="15.75" customHeight="1" x14ac:dyDescent="0.3"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 spans="11:25" ht="15.75" customHeight="1" x14ac:dyDescent="0.3"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 spans="11:25" ht="15.75" customHeight="1" x14ac:dyDescent="0.3"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 spans="11:25" ht="15.75" customHeight="1" x14ac:dyDescent="0.3"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 spans="11:25" ht="15.75" customHeight="1" x14ac:dyDescent="0.3"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 spans="11:25" ht="15.75" customHeight="1" x14ac:dyDescent="0.3"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 spans="11:25" ht="15.75" customHeight="1" x14ac:dyDescent="0.3"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 spans="11:25" ht="15.75" customHeight="1" x14ac:dyDescent="0.3"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 spans="11:25" ht="15.75" customHeight="1" x14ac:dyDescent="0.3"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 spans="11:25" ht="15.75" customHeight="1" x14ac:dyDescent="0.3"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 spans="11:25" ht="15.75" customHeight="1" x14ac:dyDescent="0.3"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 spans="11:25" ht="15.75" customHeight="1" x14ac:dyDescent="0.3"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 spans="11:25" ht="15.75" customHeight="1" x14ac:dyDescent="0.3"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 spans="11:25" ht="15.75" customHeight="1" x14ac:dyDescent="0.3"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 spans="11:25" ht="15.75" customHeight="1" x14ac:dyDescent="0.3"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 spans="11:25" ht="15.75" customHeight="1" x14ac:dyDescent="0.3"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 spans="11:25" ht="15.75" customHeight="1" x14ac:dyDescent="0.3"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 spans="11:25" ht="15.75" customHeight="1" x14ac:dyDescent="0.3"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 spans="11:25" ht="15.75" customHeight="1" x14ac:dyDescent="0.3"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 spans="11:25" ht="15.75" customHeight="1" x14ac:dyDescent="0.3"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 spans="11:25" ht="15.75" customHeight="1" x14ac:dyDescent="0.3"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 spans="11:25" ht="15.75" customHeight="1" x14ac:dyDescent="0.3"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 spans="11:25" ht="15.75" customHeight="1" x14ac:dyDescent="0.3"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 spans="11:25" ht="15.75" customHeight="1" x14ac:dyDescent="0.3"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 spans="11:25" ht="15.75" customHeight="1" x14ac:dyDescent="0.3"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 spans="11:25" ht="15.75" customHeight="1" x14ac:dyDescent="0.3"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 spans="11:25" ht="15.75" customHeight="1" x14ac:dyDescent="0.3"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 spans="11:25" ht="15.75" customHeight="1" x14ac:dyDescent="0.3"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 spans="11:25" ht="15.75" customHeight="1" x14ac:dyDescent="0.3"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 spans="11:25" ht="15.75" customHeight="1" x14ac:dyDescent="0.3"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 spans="11:25" ht="15.75" customHeight="1" x14ac:dyDescent="0.3"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 spans="11:25" ht="15.75" customHeight="1" x14ac:dyDescent="0.3"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 spans="11:25" ht="15.75" customHeight="1" x14ac:dyDescent="0.3"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 spans="11:25" ht="15.75" customHeight="1" x14ac:dyDescent="0.3"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 spans="11:25" ht="15.75" customHeight="1" x14ac:dyDescent="0.3"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 spans="11:25" ht="15.75" customHeight="1" x14ac:dyDescent="0.3"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 spans="11:25" ht="15.75" customHeight="1" x14ac:dyDescent="0.3"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 spans="11:25" ht="15.75" customHeight="1" x14ac:dyDescent="0.3"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 spans="11:25" ht="15.75" customHeight="1" x14ac:dyDescent="0.3"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 spans="11:25" ht="15.75" customHeight="1" x14ac:dyDescent="0.3"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 spans="11:25" ht="15.75" customHeight="1" x14ac:dyDescent="0.3"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 spans="11:25" ht="15.75" customHeight="1" x14ac:dyDescent="0.3"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 spans="11:25" ht="15.75" customHeight="1" x14ac:dyDescent="0.3"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 spans="11:25" ht="15.75" customHeight="1" x14ac:dyDescent="0.3"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 spans="11:25" ht="15.75" customHeight="1" x14ac:dyDescent="0.3"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 spans="11:25" ht="15.75" customHeight="1" x14ac:dyDescent="0.3"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 spans="11:25" ht="15.75" customHeight="1" x14ac:dyDescent="0.3"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 spans="11:25" ht="15.75" customHeight="1" x14ac:dyDescent="0.3"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 spans="11:25" ht="15.75" customHeight="1" x14ac:dyDescent="0.3"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 spans="11:25" ht="15.75" customHeight="1" x14ac:dyDescent="0.3"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 spans="11:25" ht="15.75" customHeight="1" x14ac:dyDescent="0.3"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 spans="11:25" ht="15.75" customHeight="1" x14ac:dyDescent="0.3"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 spans="11:25" ht="15.75" customHeight="1" x14ac:dyDescent="0.3"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 spans="11:25" ht="15.75" customHeight="1" x14ac:dyDescent="0.3"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 spans="11:25" ht="15.75" customHeight="1" x14ac:dyDescent="0.3"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 spans="11:25" ht="15.75" customHeight="1" x14ac:dyDescent="0.3"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 spans="11:25" ht="15.75" customHeight="1" x14ac:dyDescent="0.3"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 spans="11:25" ht="15.75" customHeight="1" x14ac:dyDescent="0.3"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 spans="11:25" ht="15.75" customHeight="1" x14ac:dyDescent="0.3"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 spans="11:25" ht="15.75" customHeight="1" x14ac:dyDescent="0.3"/>
    <row r="276" spans="11:25" ht="15.75" customHeight="1" x14ac:dyDescent="0.3"/>
    <row r="277" spans="11:25" ht="15.75" customHeight="1" x14ac:dyDescent="0.3"/>
    <row r="278" spans="11:25" ht="15.75" customHeight="1" x14ac:dyDescent="0.3"/>
    <row r="279" spans="11:25" ht="15.75" customHeight="1" x14ac:dyDescent="0.3"/>
    <row r="280" spans="11:25" ht="15.75" customHeight="1" x14ac:dyDescent="0.3"/>
    <row r="281" spans="11:25" ht="15.75" customHeight="1" x14ac:dyDescent="0.3"/>
    <row r="282" spans="11:25" ht="15.75" customHeight="1" x14ac:dyDescent="0.3"/>
    <row r="283" spans="11:25" ht="15.75" customHeight="1" x14ac:dyDescent="0.3"/>
    <row r="284" spans="11:25" ht="15.75" customHeight="1" x14ac:dyDescent="0.3"/>
    <row r="285" spans="11:25" ht="15.75" customHeight="1" x14ac:dyDescent="0.3"/>
    <row r="286" spans="11:25" ht="15.75" customHeight="1" x14ac:dyDescent="0.3"/>
    <row r="287" spans="11:25" ht="15.75" customHeight="1" x14ac:dyDescent="0.3"/>
    <row r="288" spans="11:25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20">
    <mergeCell ref="B11:I11"/>
    <mergeCell ref="B13:G13"/>
    <mergeCell ref="B8:C8"/>
    <mergeCell ref="D8:F8"/>
    <mergeCell ref="G8:I8"/>
    <mergeCell ref="B9:C9"/>
    <mergeCell ref="D9:F9"/>
    <mergeCell ref="G9:I9"/>
    <mergeCell ref="B6:C6"/>
    <mergeCell ref="D6:F6"/>
    <mergeCell ref="G6:I6"/>
    <mergeCell ref="B7:C7"/>
    <mergeCell ref="D7:F7"/>
    <mergeCell ref="G7:I7"/>
    <mergeCell ref="B4:C4"/>
    <mergeCell ref="D4:F4"/>
    <mergeCell ref="G4:I4"/>
    <mergeCell ref="B5:C5"/>
    <mergeCell ref="D5:F5"/>
    <mergeCell ref="G5:I5"/>
  </mergeCells>
  <conditionalFormatting sqref="G14:G45">
    <cfRule type="cellIs" dxfId="49" priority="2" operator="lessThan">
      <formula>0</formula>
    </cfRule>
    <cfRule type="cellIs" dxfId="48" priority="3" operator="between">
      <formula>0</formula>
      <formula>30</formula>
    </cfRule>
    <cfRule type="cellIs" dxfId="47" priority="4" operator="between">
      <formula>31</formula>
      <formula>60</formula>
    </cfRule>
    <cfRule type="cellIs" dxfId="46" priority="5" operator="greaterThan">
      <formula>60</formula>
    </cfRule>
  </conditionalFormatting>
  <conditionalFormatting sqref="G15:G54">
    <cfRule type="cellIs" dxfId="45" priority="6" operator="lessThan">
      <formula>0</formula>
    </cfRule>
    <cfRule type="cellIs" dxfId="44" priority="7" operator="between">
      <formula>0</formula>
      <formula>30</formula>
    </cfRule>
    <cfRule type="cellIs" dxfId="43" priority="8" operator="between">
      <formula>31</formula>
      <formula>60</formula>
    </cfRule>
    <cfRule type="cellIs" dxfId="42" priority="9" operator="between">
      <formula>0</formula>
      <formula>30</formula>
    </cfRule>
    <cfRule type="cellIs" dxfId="41" priority="10" operator="between">
      <formula>31</formula>
      <formula>60</formula>
    </cfRule>
  </conditionalFormatting>
  <conditionalFormatting sqref="G15:G74">
    <cfRule type="cellIs" dxfId="40" priority="11" operator="lessThan">
      <formula>0</formula>
    </cfRule>
    <cfRule type="cellIs" dxfId="39" priority="12" operator="greaterThan">
      <formula>60</formula>
    </cfRule>
    <cfRule type="cellIs" dxfId="38" priority="13" operator="between">
      <formula>0</formula>
      <formula>30</formula>
    </cfRule>
    <cfRule type="cellIs" dxfId="37" priority="14" operator="between">
      <formula>31</formula>
      <formula>60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ColWidth="14.44140625" defaultRowHeight="14.4" x14ac:dyDescent="0.3"/>
  <cols>
    <col min="1" max="1" width="1.44140625" style="10" customWidth="1"/>
    <col min="2" max="2" width="71.88671875" style="10" customWidth="1"/>
    <col min="3" max="3" width="9.109375" style="10" customWidth="1"/>
    <col min="4" max="4" width="17.33203125" style="10" customWidth="1"/>
    <col min="5" max="5" width="13" style="10" customWidth="1"/>
    <col min="6" max="6" width="14" style="10" customWidth="1"/>
    <col min="7" max="7" width="28.33203125" style="10" customWidth="1"/>
  </cols>
  <sheetData>
    <row r="1" spans="2:26" ht="27.75" customHeight="1" x14ac:dyDescent="0.3">
      <c r="B1" s="30" t="s">
        <v>0</v>
      </c>
      <c r="C1" s="31"/>
      <c r="D1" s="31"/>
      <c r="E1" s="31"/>
      <c r="F1" s="31"/>
      <c r="G1" s="31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spans="2:26" ht="21.75" customHeight="1" x14ac:dyDescent="0.3">
      <c r="B2" s="32" t="s">
        <v>13</v>
      </c>
      <c r="C2" s="31"/>
      <c r="D2" s="31"/>
      <c r="E2" s="31"/>
      <c r="F2" s="31"/>
      <c r="G2" s="31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spans="2:26" ht="15.75" customHeight="1" x14ac:dyDescent="0.3">
      <c r="B3" s="33" t="s">
        <v>14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spans="2:26" ht="18" customHeight="1" x14ac:dyDescent="0.3">
      <c r="B4" s="1" t="str">
        <f>"📋 "&amp;COUNTA(C6:C35)&amp;" registros   |   ✅ "&amp;COUNTIF(D6:D35,"TEM PERFIL")&amp;"   |   🕓 "&amp;COUNTIF(D6:D35,"AGUARDANDO RETORNO")&amp;"   |   ❌ "&amp;COUNTIF(D6:D35,"NÃO TEM PERFIL")</f>
        <v>📋 28 registros   |   ✅ 23   |   🕓 0   |   ❌ 4</v>
      </c>
      <c r="C4" s="1"/>
      <c r="D4" s="1"/>
      <c r="E4" s="1"/>
      <c r="F4" s="1"/>
      <c r="G4" s="1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spans="2:26" ht="15" customHeight="1" x14ac:dyDescent="0.3">
      <c r="B5" s="34" t="s">
        <v>7</v>
      </c>
      <c r="C5" s="34" t="s">
        <v>15</v>
      </c>
      <c r="D5" s="34" t="s">
        <v>10</v>
      </c>
      <c r="E5" s="34" t="s">
        <v>16</v>
      </c>
      <c r="F5" s="34" t="s">
        <v>12</v>
      </c>
      <c r="G5" s="34" t="s">
        <v>17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spans="2:26" ht="16.5" customHeight="1" x14ac:dyDescent="0.3">
      <c r="B6" s="35">
        <f t="shared" ref="B6:B35" si="0">IF(C6="","",ROW()-5)</f>
        <v>1</v>
      </c>
      <c r="C6" s="35" t="s">
        <v>18</v>
      </c>
      <c r="D6" s="36" t="s">
        <v>19</v>
      </c>
      <c r="E6" s="37"/>
      <c r="F6" s="36" t="str">
        <f t="shared" ref="F6:F35" ca="1" si="1">IFERROR(IF(ISNUMBER(E6),E6-TODAY(),DATE(VALUE(RIGHT(E6,4)),VALUE(MID(E6,4,2)),VALUE(LEFT(E6,2)))-TODAY()),"—")</f>
        <v>—</v>
      </c>
      <c r="G6" s="35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spans="2:26" ht="16.5" customHeight="1" x14ac:dyDescent="0.3">
      <c r="B7" s="35">
        <f t="shared" si="0"/>
        <v>2</v>
      </c>
      <c r="C7" s="38" t="s">
        <v>20</v>
      </c>
      <c r="D7" s="38" t="s">
        <v>19</v>
      </c>
      <c r="E7" s="39"/>
      <c r="F7" s="38" t="str">
        <f t="shared" ca="1" si="1"/>
        <v>—</v>
      </c>
      <c r="G7" s="38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spans="2:26" ht="16.5" customHeight="1" x14ac:dyDescent="0.3">
      <c r="B8" s="35">
        <f t="shared" si="0"/>
        <v>3</v>
      </c>
      <c r="C8" s="35" t="s">
        <v>21</v>
      </c>
      <c r="D8" s="36" t="s">
        <v>19</v>
      </c>
      <c r="E8" s="37"/>
      <c r="F8" s="36" t="str">
        <f t="shared" ca="1" si="1"/>
        <v>—</v>
      </c>
      <c r="G8" s="35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spans="2:26" ht="16.5" customHeight="1" x14ac:dyDescent="0.3">
      <c r="B9" s="35">
        <f t="shared" si="0"/>
        <v>4</v>
      </c>
      <c r="C9" s="38" t="s">
        <v>22</v>
      </c>
      <c r="D9" s="38" t="s">
        <v>19</v>
      </c>
      <c r="E9" s="39"/>
      <c r="F9" s="38" t="str">
        <f t="shared" ca="1" si="1"/>
        <v>—</v>
      </c>
      <c r="G9" s="38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spans="2:26" ht="16.5" customHeight="1" x14ac:dyDescent="0.3">
      <c r="B10" s="35">
        <f t="shared" si="0"/>
        <v>5</v>
      </c>
      <c r="C10" s="35" t="s">
        <v>23</v>
      </c>
      <c r="D10" s="36" t="s">
        <v>24</v>
      </c>
      <c r="E10" s="37" t="s">
        <v>25</v>
      </c>
      <c r="F10" s="36">
        <f t="shared" ca="1" si="1"/>
        <v>152</v>
      </c>
      <c r="G10" s="35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spans="2:26" ht="16.5" customHeight="1" x14ac:dyDescent="0.3">
      <c r="B11" s="35">
        <f t="shared" si="0"/>
        <v>6</v>
      </c>
      <c r="C11" s="38" t="s">
        <v>26</v>
      </c>
      <c r="D11" s="38" t="s">
        <v>24</v>
      </c>
      <c r="E11" s="39" t="s">
        <v>27</v>
      </c>
      <c r="F11" s="38">
        <f t="shared" ca="1" si="1"/>
        <v>165</v>
      </c>
      <c r="G11" s="38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spans="2:26" ht="15" customHeight="1" x14ac:dyDescent="0.3">
      <c r="B12" s="35">
        <f t="shared" si="0"/>
        <v>7</v>
      </c>
      <c r="C12" s="35" t="s">
        <v>28</v>
      </c>
      <c r="D12" s="36" t="s">
        <v>24</v>
      </c>
      <c r="E12" s="37" t="s">
        <v>29</v>
      </c>
      <c r="F12" s="36">
        <f t="shared" ca="1" si="1"/>
        <v>175</v>
      </c>
      <c r="G12" s="35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spans="2:26" ht="18" customHeight="1" x14ac:dyDescent="0.3">
      <c r="B13" s="35">
        <f t="shared" si="0"/>
        <v>8</v>
      </c>
      <c r="C13" s="38" t="s">
        <v>30</v>
      </c>
      <c r="D13" s="38" t="s">
        <v>24</v>
      </c>
      <c r="E13" s="39" t="s">
        <v>31</v>
      </c>
      <c r="F13" s="38">
        <f t="shared" ca="1" si="1"/>
        <v>334</v>
      </c>
      <c r="G13" s="38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spans="2:26" ht="21.75" customHeight="1" x14ac:dyDescent="0.3">
      <c r="B14" s="35">
        <f t="shared" si="0"/>
        <v>9</v>
      </c>
      <c r="C14" s="35" t="s">
        <v>32</v>
      </c>
      <c r="D14" s="36" t="s">
        <v>24</v>
      </c>
      <c r="E14" s="37" t="s">
        <v>33</v>
      </c>
      <c r="F14" s="36">
        <f t="shared" ca="1" si="1"/>
        <v>147</v>
      </c>
      <c r="G14" s="35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spans="2:26" ht="16.5" customHeight="1" x14ac:dyDescent="0.3">
      <c r="B15" s="35">
        <f t="shared" si="0"/>
        <v>10</v>
      </c>
      <c r="C15" s="38" t="s">
        <v>34</v>
      </c>
      <c r="D15" s="38" t="s">
        <v>24</v>
      </c>
      <c r="E15" s="39" t="s">
        <v>35</v>
      </c>
      <c r="F15" s="40">
        <f t="shared" ca="1" si="1"/>
        <v>392</v>
      </c>
      <c r="G15" s="38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spans="2:26" ht="16.5" customHeight="1" x14ac:dyDescent="0.3">
      <c r="B16" s="35">
        <f t="shared" si="0"/>
        <v>11</v>
      </c>
      <c r="C16" s="35" t="s">
        <v>36</v>
      </c>
      <c r="D16" s="36" t="s">
        <v>24</v>
      </c>
      <c r="E16" s="37" t="s">
        <v>37</v>
      </c>
      <c r="F16" s="35">
        <f t="shared" ca="1" si="1"/>
        <v>15</v>
      </c>
      <c r="G16" s="35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spans="2:26" ht="16.5" customHeight="1" x14ac:dyDescent="0.3">
      <c r="B17" s="35">
        <f t="shared" si="0"/>
        <v>12</v>
      </c>
      <c r="C17" s="38" t="s">
        <v>38</v>
      </c>
      <c r="D17" s="38" t="s">
        <v>24</v>
      </c>
      <c r="E17" s="39" t="s">
        <v>31</v>
      </c>
      <c r="F17" s="40">
        <f t="shared" ca="1" si="1"/>
        <v>334</v>
      </c>
      <c r="G17" s="38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spans="2:26" ht="16.5" customHeight="1" x14ac:dyDescent="0.3">
      <c r="B18" s="35">
        <f t="shared" si="0"/>
        <v>13</v>
      </c>
      <c r="C18" s="35" t="s">
        <v>39</v>
      </c>
      <c r="D18" s="36" t="s">
        <v>24</v>
      </c>
      <c r="E18" s="37" t="s">
        <v>35</v>
      </c>
      <c r="F18" s="35">
        <f t="shared" ca="1" si="1"/>
        <v>392</v>
      </c>
      <c r="G18" s="35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spans="2:26" ht="16.5" customHeight="1" x14ac:dyDescent="0.3">
      <c r="B19" s="35">
        <f t="shared" si="0"/>
        <v>14</v>
      </c>
      <c r="C19" s="38" t="s">
        <v>40</v>
      </c>
      <c r="D19" s="38" t="s">
        <v>24</v>
      </c>
      <c r="E19" s="39" t="s">
        <v>41</v>
      </c>
      <c r="F19" s="40">
        <f t="shared" ca="1" si="1"/>
        <v>131</v>
      </c>
      <c r="G19" s="38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spans="2:26" ht="16.5" customHeight="1" x14ac:dyDescent="0.3">
      <c r="B20" s="35">
        <f t="shared" si="0"/>
        <v>15</v>
      </c>
      <c r="C20" s="35" t="s">
        <v>42</v>
      </c>
      <c r="D20" s="36" t="s">
        <v>24</v>
      </c>
      <c r="E20" s="37" t="s">
        <v>43</v>
      </c>
      <c r="F20" s="35">
        <f t="shared" ca="1" si="1"/>
        <v>130</v>
      </c>
      <c r="G20" s="35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spans="2:26" ht="16.5" customHeight="1" x14ac:dyDescent="0.3">
      <c r="B21" s="35">
        <f t="shared" si="0"/>
        <v>16</v>
      </c>
      <c r="C21" s="38" t="s">
        <v>44</v>
      </c>
      <c r="D21" s="38" t="s">
        <v>24</v>
      </c>
      <c r="E21" s="39" t="s">
        <v>45</v>
      </c>
      <c r="F21" s="40">
        <f t="shared" ca="1" si="1"/>
        <v>158</v>
      </c>
      <c r="G21" s="38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spans="2:26" ht="15.75" customHeight="1" x14ac:dyDescent="0.3">
      <c r="B22" s="35">
        <f t="shared" si="0"/>
        <v>17</v>
      </c>
      <c r="C22" s="35" t="s">
        <v>46</v>
      </c>
      <c r="D22" s="36" t="s">
        <v>24</v>
      </c>
      <c r="E22" s="37" t="s">
        <v>47</v>
      </c>
      <c r="F22" s="36">
        <f t="shared" ca="1" si="1"/>
        <v>146</v>
      </c>
      <c r="G22" s="35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spans="2:26" ht="15.75" customHeight="1" x14ac:dyDescent="0.3">
      <c r="B23" s="35">
        <f t="shared" si="0"/>
        <v>18</v>
      </c>
      <c r="C23" s="38" t="s">
        <v>48</v>
      </c>
      <c r="D23" s="38" t="s">
        <v>24</v>
      </c>
      <c r="E23" s="39" t="s">
        <v>47</v>
      </c>
      <c r="F23" s="38">
        <f t="shared" ca="1" si="1"/>
        <v>146</v>
      </c>
      <c r="G23" s="38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spans="2:26" ht="15.75" customHeight="1" x14ac:dyDescent="0.3">
      <c r="B24" s="35">
        <f t="shared" si="0"/>
        <v>19</v>
      </c>
      <c r="C24" s="35" t="s">
        <v>49</v>
      </c>
      <c r="D24" s="36" t="s">
        <v>50</v>
      </c>
      <c r="E24" s="37"/>
      <c r="F24" s="36" t="str">
        <f t="shared" ca="1" si="1"/>
        <v>—</v>
      </c>
      <c r="G24" s="35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spans="2:26" ht="15.75" customHeight="1" x14ac:dyDescent="0.3">
      <c r="B25" s="35">
        <f t="shared" si="0"/>
        <v>20</v>
      </c>
      <c r="C25" s="38" t="s">
        <v>51</v>
      </c>
      <c r="D25" s="38" t="s">
        <v>24</v>
      </c>
      <c r="E25" s="39" t="s">
        <v>47</v>
      </c>
      <c r="F25" s="38">
        <f t="shared" ca="1" si="1"/>
        <v>146</v>
      </c>
      <c r="G25" s="38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spans="2:26" ht="15.75" customHeight="1" x14ac:dyDescent="0.3">
      <c r="B26" s="35">
        <f t="shared" si="0"/>
        <v>21</v>
      </c>
      <c r="C26" s="35" t="s">
        <v>52</v>
      </c>
      <c r="D26" s="36" t="s">
        <v>24</v>
      </c>
      <c r="E26" s="37" t="s">
        <v>47</v>
      </c>
      <c r="F26" s="36">
        <f t="shared" ca="1" si="1"/>
        <v>146</v>
      </c>
      <c r="G26" s="35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spans="2:26" ht="15.75" customHeight="1" x14ac:dyDescent="0.3">
      <c r="B27" s="35">
        <f t="shared" si="0"/>
        <v>22</v>
      </c>
      <c r="C27" s="38" t="s">
        <v>53</v>
      </c>
      <c r="D27" s="38" t="s">
        <v>24</v>
      </c>
      <c r="E27" s="39" t="s">
        <v>47</v>
      </c>
      <c r="F27" s="38">
        <f t="shared" ca="1" si="1"/>
        <v>146</v>
      </c>
      <c r="G27" s="38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spans="2:26" ht="15.75" customHeight="1" x14ac:dyDescent="0.3">
      <c r="B28" s="35">
        <f t="shared" si="0"/>
        <v>23</v>
      </c>
      <c r="C28" s="35" t="s">
        <v>54</v>
      </c>
      <c r="D28" s="36" t="s">
        <v>24</v>
      </c>
      <c r="E28" s="37" t="s">
        <v>47</v>
      </c>
      <c r="F28" s="36">
        <f t="shared" ca="1" si="1"/>
        <v>146</v>
      </c>
      <c r="G28" s="35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spans="2:26" ht="15.75" customHeight="1" x14ac:dyDescent="0.3">
      <c r="B29" s="35">
        <f t="shared" si="0"/>
        <v>24</v>
      </c>
      <c r="C29" s="38" t="s">
        <v>55</v>
      </c>
      <c r="D29" s="38" t="s">
        <v>24</v>
      </c>
      <c r="E29" s="39" t="s">
        <v>56</v>
      </c>
      <c r="F29" s="38">
        <f t="shared" ca="1" si="1"/>
        <v>178</v>
      </c>
      <c r="G29" s="38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spans="2:26" ht="15.75" customHeight="1" x14ac:dyDescent="0.3">
      <c r="B30" s="35">
        <f t="shared" si="0"/>
        <v>25</v>
      </c>
      <c r="C30" s="35" t="s">
        <v>57</v>
      </c>
      <c r="D30" s="36" t="s">
        <v>24</v>
      </c>
      <c r="E30" s="37" t="s">
        <v>56</v>
      </c>
      <c r="F30" s="36">
        <f t="shared" ca="1" si="1"/>
        <v>178</v>
      </c>
      <c r="G30" s="35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spans="2:26" ht="15.75" customHeight="1" x14ac:dyDescent="0.3">
      <c r="B31" s="35">
        <f t="shared" si="0"/>
        <v>26</v>
      </c>
      <c r="C31" s="38" t="s">
        <v>58</v>
      </c>
      <c r="D31" s="38" t="s">
        <v>24</v>
      </c>
      <c r="E31" s="39" t="s">
        <v>59</v>
      </c>
      <c r="F31" s="38">
        <f t="shared" ca="1" si="1"/>
        <v>155</v>
      </c>
      <c r="G31" s="38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spans="2:26" ht="15.75" customHeight="1" x14ac:dyDescent="0.3">
      <c r="B32" s="35">
        <f t="shared" si="0"/>
        <v>27</v>
      </c>
      <c r="C32" s="35" t="s">
        <v>60</v>
      </c>
      <c r="D32" s="36" t="s">
        <v>24</v>
      </c>
      <c r="E32" s="37" t="s">
        <v>61</v>
      </c>
      <c r="F32" s="36">
        <f t="shared" ca="1" si="1"/>
        <v>168</v>
      </c>
      <c r="G32" s="35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spans="2:26" ht="15.75" customHeight="1" x14ac:dyDescent="0.3">
      <c r="B33" s="35">
        <f t="shared" si="0"/>
        <v>28</v>
      </c>
      <c r="C33" s="38" t="s">
        <v>62</v>
      </c>
      <c r="D33" s="38" t="s">
        <v>24</v>
      </c>
      <c r="E33" s="39" t="s">
        <v>61</v>
      </c>
      <c r="F33" s="38">
        <f t="shared" ca="1" si="1"/>
        <v>168</v>
      </c>
      <c r="G33" s="38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spans="2:26" ht="15.75" customHeight="1" x14ac:dyDescent="0.3">
      <c r="B34" s="35" t="str">
        <f t="shared" si="0"/>
        <v/>
      </c>
      <c r="C34" s="35"/>
      <c r="D34" s="36"/>
      <c r="E34" s="37"/>
      <c r="F34" s="36" t="str">
        <f t="shared" ca="1" si="1"/>
        <v>—</v>
      </c>
      <c r="G34" s="35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spans="2:26" ht="15.75" customHeight="1" x14ac:dyDescent="0.3">
      <c r="B35" s="35" t="str">
        <f t="shared" si="0"/>
        <v/>
      </c>
      <c r="C35" s="38"/>
      <c r="D35" s="38"/>
      <c r="E35" s="39"/>
      <c r="F35" s="38" t="str">
        <f t="shared" ca="1" si="1"/>
        <v>—</v>
      </c>
      <c r="G35" s="38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spans="2:26" ht="15.75" customHeight="1" x14ac:dyDescent="0.3"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spans="2:26" ht="15.75" customHeight="1" x14ac:dyDescent="0.3"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spans="2:26" ht="15.75" customHeight="1" x14ac:dyDescent="0.3"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spans="2:26" ht="15.75" customHeight="1" x14ac:dyDescent="0.3"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spans="2:26" ht="15.75" customHeight="1" x14ac:dyDescent="0.3"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spans="2:26" ht="15.75" customHeight="1" x14ac:dyDescent="0.3"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spans="2:26" ht="15.75" customHeight="1" x14ac:dyDescent="0.3"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spans="2:26" ht="15.75" customHeight="1" x14ac:dyDescent="0.3"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spans="2:26" ht="15.75" customHeight="1" x14ac:dyDescent="0.3"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spans="2:26" ht="15.75" customHeight="1" x14ac:dyDescent="0.3"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spans="2:26" ht="15.75" customHeight="1" x14ac:dyDescent="0.3"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spans="2:26" ht="15.75" customHeight="1" x14ac:dyDescent="0.3"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spans="2:26" ht="15.75" customHeight="1" x14ac:dyDescent="0.3"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spans="8:26" ht="15.75" customHeight="1" x14ac:dyDescent="0.3"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spans="8:26" ht="15.75" customHeight="1" x14ac:dyDescent="0.3"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spans="8:26" ht="15.75" customHeight="1" x14ac:dyDescent="0.3"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spans="8:26" ht="15.75" customHeight="1" x14ac:dyDescent="0.3"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spans="8:26" ht="15.75" customHeight="1" x14ac:dyDescent="0.3"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spans="8:26" ht="15.75" customHeight="1" x14ac:dyDescent="0.3"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spans="8:26" ht="15.75" customHeight="1" x14ac:dyDescent="0.3"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spans="8:26" ht="15.75" customHeight="1" x14ac:dyDescent="0.3"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spans="8:26" ht="15.75" customHeight="1" x14ac:dyDescent="0.3"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spans="8:26" ht="15.75" customHeight="1" x14ac:dyDescent="0.3"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spans="8:26" ht="15.75" customHeight="1" x14ac:dyDescent="0.3"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spans="8:26" ht="15.75" customHeight="1" x14ac:dyDescent="0.3"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spans="8:26" ht="15.75" customHeight="1" x14ac:dyDescent="0.3"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spans="8:26" ht="15.75" customHeight="1" x14ac:dyDescent="0.3"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spans="8:26" ht="15.75" customHeight="1" x14ac:dyDescent="0.3"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spans="8:26" ht="15.75" customHeight="1" x14ac:dyDescent="0.3"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spans="8:26" ht="15.75" customHeight="1" x14ac:dyDescent="0.3"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spans="8:26" ht="15.75" customHeight="1" x14ac:dyDescent="0.3"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spans="8:26" ht="15.75" customHeight="1" x14ac:dyDescent="0.3"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spans="8:26" ht="15.75" customHeight="1" x14ac:dyDescent="0.3"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spans="8:26" ht="15.75" customHeight="1" x14ac:dyDescent="0.3"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spans="8:26" ht="15.75" customHeight="1" x14ac:dyDescent="0.3"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spans="8:26" ht="15.75" customHeight="1" x14ac:dyDescent="0.3"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spans="8:26" ht="15.75" customHeight="1" x14ac:dyDescent="0.3"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spans="8:26" ht="15.75" customHeight="1" x14ac:dyDescent="0.3"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spans="8:26" ht="15.75" customHeight="1" x14ac:dyDescent="0.3"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spans="8:26" ht="15.75" customHeight="1" x14ac:dyDescent="0.3"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spans="8:26" ht="15.75" customHeight="1" x14ac:dyDescent="0.3"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spans="8:26" ht="15.75" customHeight="1" x14ac:dyDescent="0.3"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spans="8:26" ht="15.75" customHeight="1" x14ac:dyDescent="0.3"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spans="8:26" ht="15.75" customHeight="1" x14ac:dyDescent="0.3"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spans="8:26" ht="15.75" customHeight="1" x14ac:dyDescent="0.3"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spans="8:26" ht="15.75" customHeight="1" x14ac:dyDescent="0.3"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spans="8:26" ht="15.75" customHeight="1" x14ac:dyDescent="0.3"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spans="8:26" ht="15.75" customHeight="1" x14ac:dyDescent="0.3"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spans="8:26" ht="15.75" customHeight="1" x14ac:dyDescent="0.3"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spans="8:26" ht="15.75" customHeight="1" x14ac:dyDescent="0.3"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spans="8:26" ht="15.75" customHeight="1" x14ac:dyDescent="0.3"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spans="8:26" ht="15.75" customHeight="1" x14ac:dyDescent="0.3"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spans="8:26" ht="15.75" customHeight="1" x14ac:dyDescent="0.3"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spans="8:26" ht="15.75" customHeight="1" x14ac:dyDescent="0.3"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spans="8:26" ht="15.75" customHeight="1" x14ac:dyDescent="0.3"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spans="8:26" ht="15.75" customHeight="1" x14ac:dyDescent="0.3"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spans="8:26" ht="15.75" customHeight="1" x14ac:dyDescent="0.3"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spans="8:26" ht="15.75" customHeight="1" x14ac:dyDescent="0.3"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spans="8:26" ht="15.75" customHeight="1" x14ac:dyDescent="0.3"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spans="8:26" ht="15.75" customHeight="1" x14ac:dyDescent="0.3"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spans="8:26" ht="15.75" customHeight="1" x14ac:dyDescent="0.3"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spans="8:26" ht="15.75" customHeight="1" x14ac:dyDescent="0.3"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spans="8:26" ht="15.75" customHeight="1" x14ac:dyDescent="0.3"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spans="8:26" ht="15.75" customHeight="1" x14ac:dyDescent="0.3"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spans="8:26" ht="15.75" customHeight="1" x14ac:dyDescent="0.3"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spans="8:26" ht="15.75" customHeight="1" x14ac:dyDescent="0.3"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spans="8:26" ht="15.75" customHeight="1" x14ac:dyDescent="0.3"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spans="8:26" ht="15.75" customHeight="1" x14ac:dyDescent="0.3"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spans="8:26" ht="15.75" customHeight="1" x14ac:dyDescent="0.3"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spans="8:26" ht="15.75" customHeight="1" x14ac:dyDescent="0.3"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spans="8:26" ht="15.75" customHeight="1" x14ac:dyDescent="0.3"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spans="8:26" ht="15.75" customHeight="1" x14ac:dyDescent="0.3"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spans="8:26" ht="15.75" customHeight="1" x14ac:dyDescent="0.3"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spans="8:26" ht="15.75" customHeight="1" x14ac:dyDescent="0.3"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spans="8:26" ht="15.75" customHeight="1" x14ac:dyDescent="0.3"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spans="8:26" ht="15.75" customHeight="1" x14ac:dyDescent="0.3"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spans="8:26" ht="15.75" customHeight="1" x14ac:dyDescent="0.3"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spans="8:26" ht="15.75" customHeight="1" x14ac:dyDescent="0.3"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spans="8:26" ht="15.75" customHeight="1" x14ac:dyDescent="0.3"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spans="8:26" ht="15.75" customHeight="1" x14ac:dyDescent="0.3"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spans="8:26" ht="15.75" customHeight="1" x14ac:dyDescent="0.3"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spans="8:26" ht="15.75" customHeight="1" x14ac:dyDescent="0.3"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spans="8:26" ht="15.75" customHeight="1" x14ac:dyDescent="0.3"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spans="8:26" ht="15.75" customHeight="1" x14ac:dyDescent="0.3"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spans="8:26" ht="15.75" customHeight="1" x14ac:dyDescent="0.3"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spans="8:26" ht="15.75" customHeight="1" x14ac:dyDescent="0.3"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spans="8:26" ht="15.75" customHeight="1" x14ac:dyDescent="0.3"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spans="8:26" ht="15.75" customHeight="1" x14ac:dyDescent="0.3"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spans="8:26" ht="15.75" customHeight="1" x14ac:dyDescent="0.3"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spans="8:26" ht="15.75" customHeight="1" x14ac:dyDescent="0.3"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spans="8:26" ht="15.75" customHeight="1" x14ac:dyDescent="0.3"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spans="8:26" ht="15.75" customHeight="1" x14ac:dyDescent="0.3"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spans="8:26" ht="15.75" customHeight="1" x14ac:dyDescent="0.3"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spans="8:26" ht="15.75" customHeight="1" x14ac:dyDescent="0.3"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spans="8:26" ht="15.75" customHeight="1" x14ac:dyDescent="0.3"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spans="8:26" ht="15.75" customHeight="1" x14ac:dyDescent="0.3"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spans="8:26" ht="15.75" customHeight="1" x14ac:dyDescent="0.3"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spans="8:26" ht="15.75" customHeight="1" x14ac:dyDescent="0.3"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spans="8:26" ht="15.75" customHeight="1" x14ac:dyDescent="0.3"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spans="8:26" ht="15.75" customHeight="1" x14ac:dyDescent="0.3"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spans="8:26" ht="15.75" customHeight="1" x14ac:dyDescent="0.3"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spans="8:26" ht="15.75" customHeight="1" x14ac:dyDescent="0.3"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spans="8:26" ht="15.75" customHeight="1" x14ac:dyDescent="0.3"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spans="8:26" ht="15.75" customHeight="1" x14ac:dyDescent="0.3"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spans="8:26" ht="15.75" customHeight="1" x14ac:dyDescent="0.3"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spans="8:26" ht="15.75" customHeight="1" x14ac:dyDescent="0.3"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spans="8:26" ht="15.75" customHeight="1" x14ac:dyDescent="0.3"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spans="8:26" ht="15.75" customHeight="1" x14ac:dyDescent="0.3"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spans="8:26" ht="15.75" customHeight="1" x14ac:dyDescent="0.3"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spans="8:26" ht="15.75" customHeight="1" x14ac:dyDescent="0.3"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spans="8:26" ht="15.75" customHeight="1" x14ac:dyDescent="0.3"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spans="8:26" ht="15.75" customHeight="1" x14ac:dyDescent="0.3"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spans="8:26" ht="15.75" customHeight="1" x14ac:dyDescent="0.3"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spans="8:26" ht="15.75" customHeight="1" x14ac:dyDescent="0.3"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spans="8:26" ht="15.75" customHeight="1" x14ac:dyDescent="0.3"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spans="8:26" ht="15.75" customHeight="1" x14ac:dyDescent="0.3"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spans="8:26" ht="15.75" customHeight="1" x14ac:dyDescent="0.3"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spans="8:26" ht="15.75" customHeight="1" x14ac:dyDescent="0.3"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spans="8:26" ht="15.75" customHeight="1" x14ac:dyDescent="0.3"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spans="8:26" ht="15.75" customHeight="1" x14ac:dyDescent="0.3"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spans="8:26" ht="15.75" customHeight="1" x14ac:dyDescent="0.3"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spans="8:26" ht="15.75" customHeight="1" x14ac:dyDescent="0.3"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spans="8:26" ht="15.75" customHeight="1" x14ac:dyDescent="0.3"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spans="8:26" ht="15.75" customHeight="1" x14ac:dyDescent="0.3"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spans="8:26" ht="15.75" customHeight="1" x14ac:dyDescent="0.3"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spans="8:26" ht="15.75" customHeight="1" x14ac:dyDescent="0.3"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spans="8:26" ht="15.75" customHeight="1" x14ac:dyDescent="0.3"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spans="8:26" ht="15.75" customHeight="1" x14ac:dyDescent="0.3"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spans="8:26" ht="15.75" customHeight="1" x14ac:dyDescent="0.3"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spans="8:26" ht="15.75" customHeight="1" x14ac:dyDescent="0.3"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spans="8:26" ht="15.75" customHeight="1" x14ac:dyDescent="0.3"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spans="8:26" ht="15.75" customHeight="1" x14ac:dyDescent="0.3"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spans="8:26" ht="15.75" customHeight="1" x14ac:dyDescent="0.3"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spans="8:26" ht="15.75" customHeight="1" x14ac:dyDescent="0.3"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spans="8:26" ht="15.75" customHeight="1" x14ac:dyDescent="0.3"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spans="8:26" ht="15.75" customHeight="1" x14ac:dyDescent="0.3"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spans="8:26" ht="15.75" customHeight="1" x14ac:dyDescent="0.3"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spans="8:26" ht="15.75" customHeight="1" x14ac:dyDescent="0.3"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spans="8:26" ht="15.75" customHeight="1" x14ac:dyDescent="0.3"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spans="8:26" ht="15.75" customHeight="1" x14ac:dyDescent="0.3"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spans="8:26" ht="15.75" customHeight="1" x14ac:dyDescent="0.3"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spans="8:26" ht="15.75" customHeight="1" x14ac:dyDescent="0.3"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spans="8:26" ht="15.75" customHeight="1" x14ac:dyDescent="0.3"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spans="8:26" ht="15.75" customHeight="1" x14ac:dyDescent="0.3"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spans="8:26" ht="15.75" customHeight="1" x14ac:dyDescent="0.3"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spans="8:26" ht="15.75" customHeight="1" x14ac:dyDescent="0.3"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spans="8:26" ht="15.75" customHeight="1" x14ac:dyDescent="0.3"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spans="8:26" ht="15.75" customHeight="1" x14ac:dyDescent="0.3"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spans="8:26" ht="15.75" customHeight="1" x14ac:dyDescent="0.3"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spans="8:26" ht="15.75" customHeight="1" x14ac:dyDescent="0.3"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spans="8:26" ht="15.75" customHeight="1" x14ac:dyDescent="0.3"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spans="8:26" ht="15.75" customHeight="1" x14ac:dyDescent="0.3"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spans="8:26" ht="15.75" customHeight="1" x14ac:dyDescent="0.3"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spans="8:26" ht="15.75" customHeight="1" x14ac:dyDescent="0.3"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spans="8:26" ht="15.75" customHeight="1" x14ac:dyDescent="0.3"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spans="8:26" ht="15.75" customHeight="1" x14ac:dyDescent="0.3"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spans="8:26" ht="15.75" customHeight="1" x14ac:dyDescent="0.3"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spans="8:26" ht="15.75" customHeight="1" x14ac:dyDescent="0.3"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spans="8:26" ht="15.75" customHeight="1" x14ac:dyDescent="0.3"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spans="8:26" ht="15.75" customHeight="1" x14ac:dyDescent="0.3"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spans="8:26" ht="15.75" customHeight="1" x14ac:dyDescent="0.3"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spans="8:26" ht="15.75" customHeight="1" x14ac:dyDescent="0.3"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spans="8:26" ht="15.75" customHeight="1" x14ac:dyDescent="0.3"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spans="8:26" ht="15.75" customHeight="1" x14ac:dyDescent="0.3"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spans="8:26" ht="15.75" customHeight="1" x14ac:dyDescent="0.3"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spans="8:26" ht="15.75" customHeight="1" x14ac:dyDescent="0.3"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spans="8:26" ht="15.75" customHeight="1" x14ac:dyDescent="0.3"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spans="8:26" ht="15.75" customHeight="1" x14ac:dyDescent="0.3"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spans="8:26" ht="15.75" customHeight="1" x14ac:dyDescent="0.3"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spans="8:26" ht="15.75" customHeight="1" x14ac:dyDescent="0.3"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spans="8:26" ht="15.75" customHeight="1" x14ac:dyDescent="0.3"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spans="8:26" ht="15.75" customHeight="1" x14ac:dyDescent="0.3"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spans="8:26" ht="15.75" customHeight="1" x14ac:dyDescent="0.3"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spans="8:26" ht="15.75" customHeight="1" x14ac:dyDescent="0.3"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spans="8:26" ht="15.75" customHeight="1" x14ac:dyDescent="0.3"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spans="8:26" ht="15.75" customHeight="1" x14ac:dyDescent="0.3"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spans="8:26" ht="15.75" customHeight="1" x14ac:dyDescent="0.3"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spans="8:26" ht="15.75" customHeight="1" x14ac:dyDescent="0.3"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spans="8:26" ht="15.75" customHeight="1" x14ac:dyDescent="0.3"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spans="8:26" ht="15.75" customHeight="1" x14ac:dyDescent="0.3"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spans="8:26" ht="15.75" customHeight="1" x14ac:dyDescent="0.3"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spans="8:26" ht="15.75" customHeight="1" x14ac:dyDescent="0.3"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spans="8:26" ht="15.75" customHeight="1" x14ac:dyDescent="0.3"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spans="8:26" ht="15.75" customHeight="1" x14ac:dyDescent="0.3"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spans="8:26" ht="15.75" customHeight="1" x14ac:dyDescent="0.3"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spans="8:26" ht="15.75" customHeight="1" x14ac:dyDescent="0.3"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spans="8:26" ht="15.75" customHeight="1" x14ac:dyDescent="0.3"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spans="8:26" ht="15.75" customHeight="1" x14ac:dyDescent="0.3"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spans="8:26" ht="15.75" customHeight="1" x14ac:dyDescent="0.3"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spans="8:26" ht="15.75" customHeight="1" x14ac:dyDescent="0.3"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spans="8:26" ht="15.75" customHeight="1" x14ac:dyDescent="0.3"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spans="8:26" ht="15.75" customHeight="1" x14ac:dyDescent="0.3"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spans="8:26" ht="15.75" customHeight="1" x14ac:dyDescent="0.3"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spans="8:26" ht="15.75" customHeight="1" x14ac:dyDescent="0.3"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spans="8:26" ht="15.75" customHeight="1" x14ac:dyDescent="0.3"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spans="8:26" ht="15.75" customHeight="1" x14ac:dyDescent="0.3"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spans="8:26" ht="15.75" customHeight="1" x14ac:dyDescent="0.3"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spans="8:26" ht="15.75" customHeight="1" x14ac:dyDescent="0.3"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8:26" ht="15.75" customHeight="1" x14ac:dyDescent="0.3"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spans="8:26" ht="15.75" customHeight="1" x14ac:dyDescent="0.3"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spans="8:26" ht="15.75" customHeight="1" x14ac:dyDescent="0.3"/>
    <row r="237" spans="8:26" ht="15.75" customHeight="1" x14ac:dyDescent="0.3"/>
    <row r="238" spans="8:26" ht="15.75" customHeight="1" x14ac:dyDescent="0.3"/>
    <row r="239" spans="8:26" ht="15.75" customHeight="1" x14ac:dyDescent="0.3"/>
    <row r="240" spans="8:26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B5:G35" xr:uid="{00000000-0009-0000-0000-000001000000}"/>
  <mergeCells count="1">
    <mergeCell ref="B4:G4"/>
  </mergeCells>
  <conditionalFormatting sqref="D6:D35">
    <cfRule type="expression" dxfId="36" priority="2">
      <formula>D6="TEM PERFIL"</formula>
    </cfRule>
    <cfRule type="expression" dxfId="35" priority="3">
      <formula>D6="NÃO TEM PERFIL"</formula>
    </cfRule>
    <cfRule type="expression" dxfId="34" priority="4">
      <formula>D6="AGUARDANDO RETORNO"</formula>
    </cfRule>
  </conditionalFormatting>
  <conditionalFormatting sqref="F6:F35">
    <cfRule type="cellIs" dxfId="33" priority="5" operator="lessThan">
      <formula>0</formula>
    </cfRule>
    <cfRule type="cellIs" dxfId="32" priority="6" operator="between">
      <formula>0</formula>
      <formula>30</formula>
    </cfRule>
    <cfRule type="cellIs" dxfId="31" priority="7" operator="between">
      <formula>31</formula>
      <formula>60</formula>
    </cfRule>
    <cfRule type="cellIs" dxfId="30" priority="8" operator="lessThan">
      <formula>0</formula>
    </cfRule>
    <cfRule type="cellIs" dxfId="29" priority="9" operator="between">
      <formula>0</formula>
      <formula>30</formula>
    </cfRule>
    <cfRule type="cellIs" dxfId="28" priority="10" operator="between">
      <formula>31</formula>
      <formula>60</formula>
    </cfRule>
    <cfRule type="cellIs" dxfId="27" priority="11" operator="greaterThan">
      <formula>60</formula>
    </cfRule>
  </conditionalFormatting>
  <conditionalFormatting sqref="F15:F21">
    <cfRule type="cellIs" dxfId="26" priority="12" operator="lessThan">
      <formula>0</formula>
    </cfRule>
    <cfRule type="cellIs" dxfId="25" priority="13" operator="between">
      <formula>0</formula>
      <formula>30</formula>
    </cfRule>
    <cfRule type="cellIs" dxfId="24" priority="14" operator="between">
      <formula>31</formula>
      <formula>60</formula>
    </cfRule>
    <cfRule type="cellIs" dxfId="23" priority="15" operator="greaterThan">
      <formula>60</formula>
    </cfRule>
  </conditionalFormatting>
  <dataValidations count="1">
    <dataValidation type="list" allowBlank="1" sqref="D6:D35" xr:uid="{00000000-0002-0000-0100-000000000000}">
      <formula1>"TEM PERFIL,AGUARDANDO RETORNO,NÃO TEM PERFIL"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1000"/>
  <sheetViews>
    <sheetView showGridLines="0" zoomScaleNormal="100" workbookViewId="0">
      <pane xSplit="3" ySplit="5" topLeftCell="D59" activePane="bottomRight" state="frozen"/>
      <selection pane="topRight" activeCell="D1" sqref="D1"/>
      <selection pane="bottomLeft" activeCell="A6" sqref="A6"/>
      <selection pane="bottomRight" activeCell="E74" sqref="E74"/>
    </sheetView>
  </sheetViews>
  <sheetFormatPr defaultColWidth="14.44140625" defaultRowHeight="14.4" x14ac:dyDescent="0.3"/>
  <cols>
    <col min="1" max="1" width="3.5546875" style="10" customWidth="1"/>
    <col min="2" max="2" width="1.5546875" style="10" customWidth="1"/>
    <col min="3" max="3" width="60.6640625" style="10" customWidth="1"/>
    <col min="4" max="4" width="43.44140625" style="10" customWidth="1"/>
    <col min="5" max="5" width="24" style="10" customWidth="1"/>
    <col min="6" max="6" width="13" style="10" customWidth="1"/>
    <col min="7" max="7" width="10.33203125" style="10" customWidth="1"/>
    <col min="8" max="8" width="53.33203125" style="10" customWidth="1"/>
    <col min="9" max="9" width="4.44140625" style="10" customWidth="1"/>
    <col min="10" max="17" width="8.6640625" style="10" customWidth="1"/>
  </cols>
  <sheetData>
    <row r="1" spans="1:25" ht="27.75" customHeight="1" x14ac:dyDescent="0.3">
      <c r="A1" s="41"/>
      <c r="C1" s="30" t="s">
        <v>0</v>
      </c>
      <c r="D1" s="42"/>
      <c r="E1" s="42"/>
      <c r="F1" s="42"/>
      <c r="G1" s="42"/>
      <c r="H1" s="42"/>
      <c r="R1" s="10"/>
      <c r="S1" s="10"/>
      <c r="T1" s="10"/>
      <c r="U1" s="10"/>
      <c r="V1" s="10"/>
      <c r="W1" s="10"/>
      <c r="X1" s="10"/>
      <c r="Y1" s="10"/>
    </row>
    <row r="2" spans="1:25" ht="21.75" customHeight="1" x14ac:dyDescent="0.3">
      <c r="C2" s="32" t="s">
        <v>63</v>
      </c>
      <c r="D2" s="42"/>
      <c r="E2" s="42"/>
      <c r="F2" s="42"/>
      <c r="G2" s="42"/>
      <c r="H2" s="42"/>
      <c r="R2" s="10"/>
      <c r="S2" s="10"/>
      <c r="T2" s="10"/>
      <c r="U2" s="10"/>
      <c r="V2" s="10"/>
      <c r="W2" s="10"/>
      <c r="X2" s="10"/>
      <c r="Y2" s="10"/>
    </row>
    <row r="3" spans="1:25" ht="15.75" customHeight="1" x14ac:dyDescent="0.3">
      <c r="C3" s="33" t="s">
        <v>14</v>
      </c>
      <c r="R3" s="10"/>
      <c r="S3" s="10"/>
      <c r="T3" s="10"/>
      <c r="U3" s="10"/>
      <c r="V3" s="10"/>
      <c r="W3" s="10"/>
      <c r="X3" s="10"/>
      <c r="Y3" s="10"/>
    </row>
    <row r="4" spans="1:25" ht="18" customHeight="1" x14ac:dyDescent="0.3">
      <c r="C4" s="1" t="str">
        <f>"📋 "&amp;COUNTA(D6:D95)&amp;" registros   |   ✅ "&amp;COUNTIF(E6:E95,"TEM PERFIL")&amp;"   |   🕓 "&amp;COUNTIF(E6:E95,"AGUARDANDO RETORNO")&amp;"   |   ❌ "&amp;COUNTIF(E6:E95,"NÃO TEM PERFIL")</f>
        <v>📋 88 registros   |   ✅ 71   |   🕓 1   |   ❌ 11</v>
      </c>
      <c r="D4" s="1"/>
      <c r="E4" s="1"/>
      <c r="F4" s="1"/>
      <c r="G4" s="1"/>
      <c r="H4" s="1"/>
      <c r="R4" s="10"/>
      <c r="S4" s="10"/>
      <c r="T4" s="10"/>
      <c r="U4" s="10"/>
      <c r="V4" s="10"/>
      <c r="W4" s="10"/>
      <c r="X4" s="10"/>
      <c r="Y4" s="10"/>
    </row>
    <row r="5" spans="1:25" ht="23.25" customHeight="1" x14ac:dyDescent="0.3">
      <c r="C5" s="34" t="s">
        <v>7</v>
      </c>
      <c r="D5" s="34" t="s">
        <v>64</v>
      </c>
      <c r="E5" s="34" t="s">
        <v>10</v>
      </c>
      <c r="F5" s="34" t="s">
        <v>16</v>
      </c>
      <c r="G5" s="34" t="s">
        <v>12</v>
      </c>
      <c r="H5" s="34" t="s">
        <v>17</v>
      </c>
      <c r="R5" s="10"/>
      <c r="S5" s="10"/>
      <c r="T5" s="10"/>
      <c r="U5" s="10"/>
      <c r="V5" s="10"/>
      <c r="W5" s="10"/>
      <c r="X5" s="10"/>
      <c r="Y5" s="10"/>
    </row>
    <row r="6" spans="1:25" ht="16.5" customHeight="1" x14ac:dyDescent="0.3">
      <c r="C6" s="35">
        <f t="shared" ref="C6:C37" si="0">IF(D6="","",ROW()-5)</f>
        <v>1</v>
      </c>
      <c r="D6" s="43" t="s">
        <v>65</v>
      </c>
      <c r="E6" s="36" t="s">
        <v>19</v>
      </c>
      <c r="F6" s="37"/>
      <c r="G6" s="36" t="str">
        <f t="shared" ref="G6:G37" ca="1" si="1">IFERROR(IF(ISNUMBER(F6),F6-TODAY(),DATE(VALUE(RIGHT(F6,4)),VALUE(MID(F6,4,2)),VALUE(LEFT(F6,2)))-TODAY()),"—")</f>
        <v>—</v>
      </c>
      <c r="H6" s="44"/>
      <c r="R6" s="10"/>
      <c r="S6" s="10"/>
      <c r="T6" s="10"/>
      <c r="U6" s="10"/>
      <c r="V6" s="10"/>
      <c r="W6" s="10"/>
      <c r="X6" s="10"/>
      <c r="Y6" s="10"/>
    </row>
    <row r="7" spans="1:25" ht="16.5" customHeight="1" x14ac:dyDescent="0.3">
      <c r="C7" s="35">
        <f t="shared" si="0"/>
        <v>2</v>
      </c>
      <c r="D7" s="45" t="s">
        <v>66</v>
      </c>
      <c r="E7" s="38" t="s">
        <v>24</v>
      </c>
      <c r="F7" s="39">
        <v>46406</v>
      </c>
      <c r="G7" s="38">
        <f t="shared" ca="1" si="1"/>
        <v>137</v>
      </c>
      <c r="H7" s="46"/>
      <c r="R7" s="10"/>
      <c r="S7" s="10"/>
      <c r="T7" s="10"/>
      <c r="U7" s="10"/>
      <c r="V7" s="10"/>
      <c r="W7" s="10"/>
      <c r="X7" s="10"/>
      <c r="Y7" s="10"/>
    </row>
    <row r="8" spans="1:25" ht="16.5" customHeight="1" x14ac:dyDescent="0.3">
      <c r="C8" s="35">
        <f t="shared" si="0"/>
        <v>3</v>
      </c>
      <c r="D8" s="43" t="s">
        <v>67</v>
      </c>
      <c r="E8" s="36" t="s">
        <v>24</v>
      </c>
      <c r="F8" s="37" t="s">
        <v>68</v>
      </c>
      <c r="G8" s="36">
        <f t="shared" ca="1" si="1"/>
        <v>181</v>
      </c>
      <c r="H8" s="44"/>
      <c r="R8" s="10"/>
      <c r="S8" s="10"/>
      <c r="T8" s="10"/>
      <c r="U8" s="10"/>
      <c r="V8" s="10"/>
      <c r="W8" s="10"/>
      <c r="X8" s="10"/>
      <c r="Y8" s="10"/>
    </row>
    <row r="9" spans="1:25" ht="16.5" customHeight="1" x14ac:dyDescent="0.3">
      <c r="C9" s="35">
        <f t="shared" si="0"/>
        <v>4</v>
      </c>
      <c r="D9" s="45" t="s">
        <v>69</v>
      </c>
      <c r="E9" s="38" t="s">
        <v>24</v>
      </c>
      <c r="F9" s="39" t="s">
        <v>70</v>
      </c>
      <c r="G9" s="38">
        <f t="shared" ca="1" si="1"/>
        <v>132</v>
      </c>
      <c r="H9" s="46" t="s">
        <v>71</v>
      </c>
      <c r="R9" s="10"/>
      <c r="S9" s="10"/>
      <c r="T9" s="10"/>
      <c r="U9" s="10"/>
      <c r="V9" s="10"/>
      <c r="W9" s="10"/>
      <c r="X9" s="10"/>
      <c r="Y9" s="10"/>
    </row>
    <row r="10" spans="1:25" ht="16.5" customHeight="1" x14ac:dyDescent="0.3">
      <c r="C10" s="35">
        <f t="shared" si="0"/>
        <v>5</v>
      </c>
      <c r="D10" s="43" t="s">
        <v>72</v>
      </c>
      <c r="E10" s="36" t="s">
        <v>24</v>
      </c>
      <c r="F10" s="37" t="s">
        <v>68</v>
      </c>
      <c r="G10" s="36">
        <f t="shared" ca="1" si="1"/>
        <v>181</v>
      </c>
      <c r="H10" s="44"/>
      <c r="R10" s="10"/>
      <c r="S10" s="10"/>
      <c r="T10" s="10"/>
      <c r="U10" s="10"/>
      <c r="V10" s="10"/>
      <c r="W10" s="10"/>
      <c r="X10" s="10"/>
      <c r="Y10" s="10"/>
    </row>
    <row r="11" spans="1:25" ht="16.5" customHeight="1" x14ac:dyDescent="0.3">
      <c r="C11" s="35">
        <f t="shared" si="0"/>
        <v>6</v>
      </c>
      <c r="D11" s="45" t="s">
        <v>73</v>
      </c>
      <c r="E11" s="38" t="s">
        <v>24</v>
      </c>
      <c r="F11" s="39" t="s">
        <v>74</v>
      </c>
      <c r="G11" s="38">
        <f t="shared" ca="1" si="1"/>
        <v>104</v>
      </c>
      <c r="H11" s="46"/>
      <c r="R11" s="10"/>
      <c r="S11" s="10"/>
      <c r="T11" s="10"/>
      <c r="U11" s="10"/>
      <c r="V11" s="10"/>
      <c r="W11" s="10"/>
      <c r="X11" s="10"/>
      <c r="Y11" s="10"/>
    </row>
    <row r="12" spans="1:25" ht="15" customHeight="1" x14ac:dyDescent="0.3">
      <c r="C12" s="35">
        <f t="shared" si="0"/>
        <v>7</v>
      </c>
      <c r="D12" s="43" t="s">
        <v>75</v>
      </c>
      <c r="E12" s="36" t="s">
        <v>24</v>
      </c>
      <c r="F12" s="37" t="s">
        <v>76</v>
      </c>
      <c r="G12" s="36">
        <f t="shared" ca="1" si="1"/>
        <v>103</v>
      </c>
      <c r="H12" s="44"/>
      <c r="R12" s="10"/>
      <c r="S12" s="10"/>
      <c r="T12" s="10"/>
      <c r="U12" s="10"/>
      <c r="V12" s="10"/>
      <c r="W12" s="10"/>
      <c r="X12" s="10"/>
      <c r="Y12" s="10"/>
    </row>
    <row r="13" spans="1:25" ht="15" customHeight="1" x14ac:dyDescent="0.3">
      <c r="C13" s="35">
        <f t="shared" si="0"/>
        <v>8</v>
      </c>
      <c r="D13" s="45" t="s">
        <v>77</v>
      </c>
      <c r="E13" s="38" t="s">
        <v>24</v>
      </c>
      <c r="F13" s="39" t="s">
        <v>78</v>
      </c>
      <c r="G13" s="38">
        <f t="shared" ca="1" si="1"/>
        <v>116</v>
      </c>
      <c r="H13" s="46" t="s">
        <v>79</v>
      </c>
      <c r="R13" s="10"/>
      <c r="S13" s="10"/>
      <c r="T13" s="10"/>
      <c r="U13" s="10"/>
      <c r="V13" s="10"/>
      <c r="W13" s="10"/>
      <c r="X13" s="10"/>
      <c r="Y13" s="10"/>
    </row>
    <row r="14" spans="1:25" ht="15" customHeight="1" x14ac:dyDescent="0.3">
      <c r="C14" s="35">
        <f t="shared" si="0"/>
        <v>9</v>
      </c>
      <c r="D14" s="43" t="s">
        <v>80</v>
      </c>
      <c r="E14" s="36" t="s">
        <v>24</v>
      </c>
      <c r="F14" s="37" t="s">
        <v>81</v>
      </c>
      <c r="G14" s="36">
        <f t="shared" ca="1" si="1"/>
        <v>123</v>
      </c>
      <c r="H14" s="44" t="s">
        <v>82</v>
      </c>
      <c r="R14" s="10"/>
      <c r="S14" s="10"/>
      <c r="T14" s="10"/>
      <c r="U14" s="10"/>
      <c r="V14" s="10"/>
      <c r="W14" s="10"/>
      <c r="X14" s="10"/>
      <c r="Y14" s="10"/>
    </row>
    <row r="15" spans="1:25" ht="16.5" customHeight="1" x14ac:dyDescent="0.3">
      <c r="C15" s="35">
        <f t="shared" si="0"/>
        <v>10</v>
      </c>
      <c r="D15" s="45" t="s">
        <v>83</v>
      </c>
      <c r="E15" s="38" t="s">
        <v>24</v>
      </c>
      <c r="F15" s="39" t="s">
        <v>68</v>
      </c>
      <c r="G15" s="38">
        <f t="shared" ca="1" si="1"/>
        <v>181</v>
      </c>
      <c r="H15" s="46"/>
      <c r="Q15" s="10">
        <v>1</v>
      </c>
      <c r="R15" s="10"/>
      <c r="S15" s="10"/>
      <c r="T15" s="10"/>
      <c r="U15" s="10"/>
      <c r="V15" s="10"/>
      <c r="W15" s="10"/>
      <c r="X15" s="10"/>
      <c r="Y15" s="10"/>
    </row>
    <row r="16" spans="1:25" ht="16.5" customHeight="1" x14ac:dyDescent="0.3">
      <c r="C16" s="35">
        <f t="shared" si="0"/>
        <v>11</v>
      </c>
      <c r="D16" s="43" t="s">
        <v>84</v>
      </c>
      <c r="E16" s="36" t="s">
        <v>24</v>
      </c>
      <c r="F16" s="37" t="s">
        <v>85</v>
      </c>
      <c r="G16" s="36">
        <f t="shared" ca="1" si="1"/>
        <v>221</v>
      </c>
      <c r="H16" s="44"/>
      <c r="R16" s="10"/>
      <c r="S16" s="10"/>
      <c r="T16" s="10"/>
      <c r="U16" s="10"/>
      <c r="V16" s="10"/>
      <c r="W16" s="10"/>
      <c r="X16" s="10"/>
      <c r="Y16" s="10"/>
    </row>
    <row r="17" spans="3:25" ht="16.5" customHeight="1" x14ac:dyDescent="0.3">
      <c r="C17" s="35">
        <f t="shared" si="0"/>
        <v>12</v>
      </c>
      <c r="D17" s="45" t="s">
        <v>86</v>
      </c>
      <c r="E17" s="38" t="s">
        <v>24</v>
      </c>
      <c r="F17" s="39" t="s">
        <v>87</v>
      </c>
      <c r="G17" s="38">
        <f t="shared" ca="1" si="1"/>
        <v>120</v>
      </c>
      <c r="H17" s="46" t="s">
        <v>82</v>
      </c>
      <c r="R17" s="10"/>
      <c r="S17" s="10"/>
      <c r="T17" s="10"/>
      <c r="U17" s="10"/>
      <c r="V17" s="10"/>
      <c r="W17" s="10"/>
      <c r="X17" s="10"/>
      <c r="Y17" s="10"/>
    </row>
    <row r="18" spans="3:25" ht="16.5" customHeight="1" x14ac:dyDescent="0.3">
      <c r="C18" s="35">
        <f t="shared" si="0"/>
        <v>13</v>
      </c>
      <c r="D18" s="43" t="s">
        <v>88</v>
      </c>
      <c r="E18" s="36" t="s">
        <v>24</v>
      </c>
      <c r="F18" s="37" t="s">
        <v>68</v>
      </c>
      <c r="G18" s="36">
        <f t="shared" ca="1" si="1"/>
        <v>181</v>
      </c>
      <c r="H18" s="44"/>
      <c r="R18" s="10"/>
      <c r="S18" s="10"/>
      <c r="T18" s="10"/>
      <c r="U18" s="10"/>
      <c r="V18" s="10"/>
      <c r="W18" s="10"/>
      <c r="X18" s="10"/>
      <c r="Y18" s="10"/>
    </row>
    <row r="19" spans="3:25" ht="16.5" customHeight="1" x14ac:dyDescent="0.3">
      <c r="C19" s="35">
        <f t="shared" si="0"/>
        <v>14</v>
      </c>
      <c r="D19" s="45" t="s">
        <v>89</v>
      </c>
      <c r="E19" s="38" t="s">
        <v>24</v>
      </c>
      <c r="F19" s="39" t="s">
        <v>33</v>
      </c>
      <c r="G19" s="38">
        <f t="shared" ca="1" si="1"/>
        <v>147</v>
      </c>
      <c r="H19" s="46"/>
      <c r="R19" s="10"/>
      <c r="S19" s="10"/>
      <c r="T19" s="10"/>
      <c r="U19" s="10"/>
      <c r="V19" s="10"/>
      <c r="W19" s="10"/>
      <c r="X19" s="10"/>
      <c r="Y19" s="10"/>
    </row>
    <row r="20" spans="3:25" ht="16.5" customHeight="1" x14ac:dyDescent="0.3">
      <c r="C20" s="35">
        <f t="shared" si="0"/>
        <v>15</v>
      </c>
      <c r="D20" s="43" t="s">
        <v>90</v>
      </c>
      <c r="E20" s="36" t="s">
        <v>24</v>
      </c>
      <c r="F20" s="47">
        <v>46336</v>
      </c>
      <c r="G20" s="36">
        <f t="shared" ca="1" si="1"/>
        <v>67</v>
      </c>
      <c r="H20" s="44"/>
      <c r="R20" s="10"/>
      <c r="S20" s="10"/>
      <c r="T20" s="10"/>
      <c r="U20" s="10"/>
      <c r="V20" s="10"/>
      <c r="W20" s="10"/>
      <c r="X20" s="10"/>
      <c r="Y20" s="10"/>
    </row>
    <row r="21" spans="3:25" ht="16.5" customHeight="1" x14ac:dyDescent="0.3">
      <c r="C21" s="35">
        <f t="shared" si="0"/>
        <v>16</v>
      </c>
      <c r="D21" s="45" t="s">
        <v>91</v>
      </c>
      <c r="E21" s="38" t="s">
        <v>24</v>
      </c>
      <c r="F21" s="39" t="s">
        <v>92</v>
      </c>
      <c r="G21" s="38">
        <f t="shared" ca="1" si="1"/>
        <v>-24</v>
      </c>
      <c r="H21" s="46"/>
      <c r="R21" s="10"/>
      <c r="S21" s="10"/>
      <c r="T21" s="10"/>
      <c r="U21" s="10"/>
      <c r="V21" s="10"/>
      <c r="W21" s="10"/>
      <c r="X21" s="10"/>
      <c r="Y21" s="10"/>
    </row>
    <row r="22" spans="3:25" ht="15" customHeight="1" x14ac:dyDescent="0.3">
      <c r="C22" s="35">
        <f t="shared" si="0"/>
        <v>17</v>
      </c>
      <c r="D22" s="43" t="s">
        <v>93</v>
      </c>
      <c r="E22" s="36" t="s">
        <v>19</v>
      </c>
      <c r="F22" s="37"/>
      <c r="G22" s="36" t="str">
        <f t="shared" ca="1" si="1"/>
        <v>—</v>
      </c>
      <c r="H22" s="44" t="s">
        <v>94</v>
      </c>
      <c r="R22" s="10"/>
      <c r="S22" s="10"/>
      <c r="T22" s="10"/>
      <c r="U22" s="10"/>
      <c r="V22" s="10"/>
      <c r="W22" s="10"/>
      <c r="X22" s="10"/>
      <c r="Y22" s="10"/>
    </row>
    <row r="23" spans="3:25" ht="16.5" customHeight="1" x14ac:dyDescent="0.3">
      <c r="C23" s="35">
        <f t="shared" si="0"/>
        <v>18</v>
      </c>
      <c r="D23" s="45" t="s">
        <v>95</v>
      </c>
      <c r="E23" s="38" t="s">
        <v>96</v>
      </c>
      <c r="F23" s="39"/>
      <c r="G23" s="38" t="str">
        <f t="shared" ca="1" si="1"/>
        <v>—</v>
      </c>
      <c r="H23" s="46" t="s">
        <v>97</v>
      </c>
      <c r="R23" s="10"/>
      <c r="S23" s="10"/>
      <c r="T23" s="10"/>
      <c r="U23" s="10"/>
      <c r="V23" s="10"/>
      <c r="W23" s="10"/>
      <c r="X23" s="10"/>
      <c r="Y23" s="10"/>
    </row>
    <row r="24" spans="3:25" ht="16.5" customHeight="1" x14ac:dyDescent="0.3">
      <c r="C24" s="35">
        <f t="shared" si="0"/>
        <v>19</v>
      </c>
      <c r="D24" s="43" t="s">
        <v>98</v>
      </c>
      <c r="E24" s="36" t="s">
        <v>24</v>
      </c>
      <c r="F24" s="37" t="s">
        <v>47</v>
      </c>
      <c r="G24" s="36">
        <f t="shared" ca="1" si="1"/>
        <v>146</v>
      </c>
      <c r="H24" s="44" t="s">
        <v>82</v>
      </c>
      <c r="R24" s="10"/>
      <c r="S24" s="10"/>
      <c r="T24" s="10"/>
      <c r="U24" s="10"/>
      <c r="V24" s="10"/>
      <c r="W24" s="10"/>
      <c r="X24" s="10"/>
      <c r="Y24" s="10"/>
    </row>
    <row r="25" spans="3:25" ht="16.5" customHeight="1" x14ac:dyDescent="0.3">
      <c r="C25" s="35">
        <f t="shared" si="0"/>
        <v>20</v>
      </c>
      <c r="D25" s="45" t="s">
        <v>99</v>
      </c>
      <c r="E25" s="38" t="s">
        <v>19</v>
      </c>
      <c r="F25" s="39"/>
      <c r="G25" s="38" t="str">
        <f t="shared" ca="1" si="1"/>
        <v>—</v>
      </c>
      <c r="H25" s="46" t="s">
        <v>100</v>
      </c>
      <c r="R25" s="10"/>
      <c r="S25" s="10"/>
      <c r="T25" s="10"/>
      <c r="U25" s="10"/>
      <c r="V25" s="10"/>
      <c r="W25" s="10"/>
      <c r="X25" s="10"/>
      <c r="Y25" s="10"/>
    </row>
    <row r="26" spans="3:25" ht="16.5" customHeight="1" x14ac:dyDescent="0.3">
      <c r="C26" s="35">
        <f t="shared" si="0"/>
        <v>21</v>
      </c>
      <c r="D26" s="43" t="s">
        <v>101</v>
      </c>
      <c r="E26" s="36" t="s">
        <v>19</v>
      </c>
      <c r="F26" s="37"/>
      <c r="G26" s="36" t="str">
        <f t="shared" ca="1" si="1"/>
        <v>—</v>
      </c>
      <c r="H26" s="44"/>
      <c r="R26" s="10"/>
      <c r="S26" s="10"/>
      <c r="T26" s="10"/>
      <c r="U26" s="10"/>
      <c r="V26" s="10"/>
      <c r="W26" s="10"/>
      <c r="X26" s="10"/>
      <c r="Y26" s="10"/>
    </row>
    <row r="27" spans="3:25" ht="16.5" customHeight="1" x14ac:dyDescent="0.3">
      <c r="C27" s="35">
        <f t="shared" si="0"/>
        <v>22</v>
      </c>
      <c r="D27" s="45" t="s">
        <v>102</v>
      </c>
      <c r="E27" s="38" t="s">
        <v>24</v>
      </c>
      <c r="F27" s="39" t="s">
        <v>43</v>
      </c>
      <c r="G27" s="38">
        <f t="shared" ca="1" si="1"/>
        <v>130</v>
      </c>
      <c r="H27" s="46" t="s">
        <v>103</v>
      </c>
      <c r="R27" s="10"/>
      <c r="S27" s="10"/>
      <c r="T27" s="10"/>
      <c r="U27" s="10"/>
      <c r="V27" s="10"/>
      <c r="W27" s="10"/>
      <c r="X27" s="10"/>
      <c r="Y27" s="10"/>
    </row>
    <row r="28" spans="3:25" ht="16.5" customHeight="1" x14ac:dyDescent="0.3">
      <c r="C28" s="35">
        <f t="shared" si="0"/>
        <v>23</v>
      </c>
      <c r="D28" s="43" t="s">
        <v>104</v>
      </c>
      <c r="E28" s="36" t="s">
        <v>24</v>
      </c>
      <c r="F28" s="37" t="s">
        <v>105</v>
      </c>
      <c r="G28" s="36">
        <f t="shared" ca="1" si="1"/>
        <v>212</v>
      </c>
      <c r="H28" s="44"/>
      <c r="R28" s="10"/>
      <c r="S28" s="10"/>
      <c r="T28" s="10"/>
      <c r="U28" s="10"/>
      <c r="V28" s="10"/>
      <c r="W28" s="10"/>
      <c r="X28" s="10"/>
      <c r="Y28" s="10"/>
    </row>
    <row r="29" spans="3:25" ht="16.5" customHeight="1" x14ac:dyDescent="0.3">
      <c r="C29" s="35">
        <f t="shared" si="0"/>
        <v>24</v>
      </c>
      <c r="D29" s="45" t="s">
        <v>106</v>
      </c>
      <c r="E29" s="38" t="s">
        <v>24</v>
      </c>
      <c r="F29" s="39" t="s">
        <v>76</v>
      </c>
      <c r="G29" s="38">
        <f t="shared" ca="1" si="1"/>
        <v>103</v>
      </c>
      <c r="H29" s="46"/>
      <c r="R29" s="10"/>
      <c r="S29" s="10"/>
      <c r="T29" s="10"/>
      <c r="U29" s="10"/>
      <c r="V29" s="10"/>
      <c r="W29" s="10"/>
      <c r="X29" s="10"/>
      <c r="Y29" s="10"/>
    </row>
    <row r="30" spans="3:25" ht="16.5" customHeight="1" x14ac:dyDescent="0.3">
      <c r="C30" s="35">
        <f t="shared" si="0"/>
        <v>25</v>
      </c>
      <c r="D30" s="43" t="s">
        <v>107</v>
      </c>
      <c r="E30" s="36" t="s">
        <v>24</v>
      </c>
      <c r="F30" s="37" t="s">
        <v>81</v>
      </c>
      <c r="G30" s="36">
        <f t="shared" ca="1" si="1"/>
        <v>123</v>
      </c>
      <c r="H30" s="44" t="s">
        <v>82</v>
      </c>
      <c r="R30" s="10"/>
      <c r="S30" s="10"/>
      <c r="T30" s="10"/>
      <c r="U30" s="10"/>
      <c r="V30" s="10"/>
      <c r="W30" s="10"/>
      <c r="X30" s="10"/>
      <c r="Y30" s="10"/>
    </row>
    <row r="31" spans="3:25" ht="16.5" customHeight="1" x14ac:dyDescent="0.3">
      <c r="C31" s="35">
        <f t="shared" si="0"/>
        <v>26</v>
      </c>
      <c r="D31" s="45" t="s">
        <v>108</v>
      </c>
      <c r="E31" s="38" t="s">
        <v>24</v>
      </c>
      <c r="F31" s="39" t="s">
        <v>43</v>
      </c>
      <c r="G31" s="38">
        <f t="shared" ca="1" si="1"/>
        <v>130</v>
      </c>
      <c r="H31" s="46" t="s">
        <v>103</v>
      </c>
      <c r="R31" s="10"/>
      <c r="S31" s="10"/>
      <c r="T31" s="10"/>
      <c r="U31" s="10"/>
      <c r="V31" s="10"/>
      <c r="W31" s="10"/>
      <c r="X31" s="10"/>
      <c r="Y31" s="10"/>
    </row>
    <row r="32" spans="3:25" ht="16.5" customHeight="1" x14ac:dyDescent="0.3">
      <c r="C32" s="35">
        <f t="shared" si="0"/>
        <v>27</v>
      </c>
      <c r="D32" s="43" t="s">
        <v>109</v>
      </c>
      <c r="E32" s="36" t="s">
        <v>19</v>
      </c>
      <c r="F32" s="37"/>
      <c r="G32" s="36" t="str">
        <f t="shared" ca="1" si="1"/>
        <v>—</v>
      </c>
      <c r="H32" s="44"/>
      <c r="R32" s="10"/>
      <c r="S32" s="10"/>
      <c r="T32" s="10"/>
      <c r="U32" s="10"/>
      <c r="V32" s="10"/>
      <c r="W32" s="10"/>
      <c r="X32" s="10"/>
      <c r="Y32" s="10"/>
    </row>
    <row r="33" spans="3:25" ht="16.5" customHeight="1" x14ac:dyDescent="0.3">
      <c r="C33" s="35">
        <f t="shared" si="0"/>
        <v>28</v>
      </c>
      <c r="D33" s="45" t="s">
        <v>110</v>
      </c>
      <c r="E33" s="38" t="s">
        <v>24</v>
      </c>
      <c r="F33" s="39" t="s">
        <v>111</v>
      </c>
      <c r="G33" s="38">
        <f t="shared" ca="1" si="1"/>
        <v>348</v>
      </c>
      <c r="H33" s="46"/>
      <c r="R33" s="10"/>
      <c r="S33" s="10"/>
      <c r="T33" s="10"/>
      <c r="U33" s="10"/>
      <c r="V33" s="10"/>
      <c r="W33" s="10"/>
      <c r="X33" s="10"/>
      <c r="Y33" s="10"/>
    </row>
    <row r="34" spans="3:25" ht="16.5" customHeight="1" x14ac:dyDescent="0.3">
      <c r="C34" s="35">
        <f t="shared" si="0"/>
        <v>29</v>
      </c>
      <c r="D34" s="43" t="s">
        <v>112</v>
      </c>
      <c r="E34" s="36" t="s">
        <v>24</v>
      </c>
      <c r="F34" s="37" t="s">
        <v>76</v>
      </c>
      <c r="G34" s="36">
        <f t="shared" ca="1" si="1"/>
        <v>103</v>
      </c>
      <c r="H34" s="44"/>
      <c r="R34" s="10"/>
      <c r="S34" s="10"/>
      <c r="T34" s="10"/>
      <c r="U34" s="10"/>
      <c r="V34" s="10"/>
      <c r="W34" s="10"/>
      <c r="X34" s="10"/>
      <c r="Y34" s="10"/>
    </row>
    <row r="35" spans="3:25" ht="16.5" customHeight="1" x14ac:dyDescent="0.3">
      <c r="C35" s="35">
        <f t="shared" si="0"/>
        <v>30</v>
      </c>
      <c r="D35" s="45" t="s">
        <v>113</v>
      </c>
      <c r="E35" s="38" t="s">
        <v>24</v>
      </c>
      <c r="F35" s="39" t="s">
        <v>76</v>
      </c>
      <c r="G35" s="38">
        <f t="shared" ca="1" si="1"/>
        <v>103</v>
      </c>
      <c r="H35" s="46"/>
      <c r="R35" s="10"/>
      <c r="S35" s="10"/>
      <c r="T35" s="10"/>
      <c r="U35" s="10"/>
      <c r="V35" s="10"/>
      <c r="W35" s="10"/>
      <c r="X35" s="10"/>
      <c r="Y35" s="10"/>
    </row>
    <row r="36" spans="3:25" ht="16.5" customHeight="1" x14ac:dyDescent="0.3">
      <c r="C36" s="35">
        <f t="shared" si="0"/>
        <v>31</v>
      </c>
      <c r="D36" s="43" t="s">
        <v>114</v>
      </c>
      <c r="E36" s="36" t="s">
        <v>19</v>
      </c>
      <c r="F36" s="37"/>
      <c r="G36" s="36" t="str">
        <f t="shared" ca="1" si="1"/>
        <v>—</v>
      </c>
      <c r="H36" s="44"/>
      <c r="R36" s="10"/>
      <c r="S36" s="10"/>
      <c r="T36" s="10"/>
      <c r="U36" s="10"/>
      <c r="V36" s="10"/>
      <c r="W36" s="10"/>
      <c r="X36" s="10"/>
      <c r="Y36" s="10"/>
    </row>
    <row r="37" spans="3:25" ht="16.5" customHeight="1" x14ac:dyDescent="0.3">
      <c r="C37" s="35">
        <f t="shared" si="0"/>
        <v>32</v>
      </c>
      <c r="D37" s="45" t="s">
        <v>115</v>
      </c>
      <c r="E37" s="38" t="s">
        <v>24</v>
      </c>
      <c r="F37" s="39" t="s">
        <v>116</v>
      </c>
      <c r="G37" s="38">
        <f t="shared" ca="1" si="1"/>
        <v>45</v>
      </c>
      <c r="H37" s="46"/>
      <c r="R37" s="10"/>
      <c r="S37" s="10"/>
      <c r="T37" s="10"/>
      <c r="U37" s="10"/>
      <c r="V37" s="10"/>
      <c r="W37" s="10"/>
      <c r="X37" s="10"/>
      <c r="Y37" s="10"/>
    </row>
    <row r="38" spans="3:25" ht="16.5" customHeight="1" x14ac:dyDescent="0.3">
      <c r="C38" s="35">
        <f t="shared" ref="C38:C69" si="2">IF(D38="","",ROW()-5)</f>
        <v>33</v>
      </c>
      <c r="D38" s="43" t="s">
        <v>117</v>
      </c>
      <c r="E38" s="36" t="s">
        <v>24</v>
      </c>
      <c r="F38" s="37" t="s">
        <v>118</v>
      </c>
      <c r="G38" s="36">
        <f t="shared" ref="G38:G69" ca="1" si="3">IFERROR(IF(ISNUMBER(F38),F38-TODAY(),DATE(VALUE(RIGHT(F38,4)),VALUE(MID(F38,4,2)),VALUE(LEFT(F38,2)))-TODAY()),"—")</f>
        <v>166</v>
      </c>
      <c r="H38" s="44"/>
      <c r="R38" s="10"/>
      <c r="S38" s="10"/>
      <c r="T38" s="10"/>
      <c r="U38" s="10"/>
      <c r="V38" s="10"/>
      <c r="W38" s="10"/>
      <c r="X38" s="10"/>
      <c r="Y38" s="10"/>
    </row>
    <row r="39" spans="3:25" ht="15.75" customHeight="1" x14ac:dyDescent="0.3">
      <c r="C39" s="35">
        <f t="shared" si="2"/>
        <v>34</v>
      </c>
      <c r="D39" s="45" t="s">
        <v>119</v>
      </c>
      <c r="E39" s="38" t="s">
        <v>24</v>
      </c>
      <c r="F39" s="39" t="s">
        <v>120</v>
      </c>
      <c r="G39" s="38">
        <f t="shared" ca="1" si="3"/>
        <v>6</v>
      </c>
      <c r="H39" s="46"/>
      <c r="R39" s="10"/>
      <c r="S39" s="10"/>
      <c r="T39" s="10"/>
      <c r="U39" s="10"/>
      <c r="V39" s="10"/>
      <c r="W39" s="10"/>
      <c r="X39" s="10"/>
      <c r="Y39" s="10"/>
    </row>
    <row r="40" spans="3:25" ht="15.75" customHeight="1" x14ac:dyDescent="0.3">
      <c r="C40" s="35">
        <f t="shared" si="2"/>
        <v>35</v>
      </c>
      <c r="D40" s="43" t="s">
        <v>121</v>
      </c>
      <c r="E40" s="36" t="s">
        <v>19</v>
      </c>
      <c r="F40" s="37"/>
      <c r="G40" s="36" t="str">
        <f t="shared" ca="1" si="3"/>
        <v>—</v>
      </c>
      <c r="H40" s="44"/>
      <c r="R40" s="10"/>
      <c r="S40" s="10"/>
      <c r="T40" s="10"/>
      <c r="U40" s="10"/>
      <c r="V40" s="10"/>
      <c r="W40" s="10"/>
      <c r="X40" s="10"/>
      <c r="Y40" s="10"/>
    </row>
    <row r="41" spans="3:25" ht="15.75" customHeight="1" x14ac:dyDescent="0.3">
      <c r="C41" s="35">
        <f t="shared" si="2"/>
        <v>36</v>
      </c>
      <c r="D41" s="45" t="s">
        <v>122</v>
      </c>
      <c r="E41" s="38" t="s">
        <v>24</v>
      </c>
      <c r="F41" s="39" t="s">
        <v>123</v>
      </c>
      <c r="G41" s="38">
        <f t="shared" ca="1" si="3"/>
        <v>-37</v>
      </c>
      <c r="H41" s="46"/>
      <c r="R41" s="10"/>
      <c r="S41" s="10"/>
      <c r="T41" s="10"/>
      <c r="U41" s="10"/>
      <c r="V41" s="10"/>
      <c r="W41" s="10"/>
      <c r="X41" s="10"/>
      <c r="Y41" s="10"/>
    </row>
    <row r="42" spans="3:25" ht="15.75" customHeight="1" x14ac:dyDescent="0.3">
      <c r="C42" s="35">
        <f t="shared" si="2"/>
        <v>37</v>
      </c>
      <c r="D42" s="43" t="s">
        <v>124</v>
      </c>
      <c r="E42" s="36" t="s">
        <v>19</v>
      </c>
      <c r="F42" s="37"/>
      <c r="G42" s="36" t="str">
        <f t="shared" ca="1" si="3"/>
        <v>—</v>
      </c>
      <c r="H42" s="44"/>
      <c r="R42" s="10"/>
      <c r="S42" s="10"/>
      <c r="T42" s="10"/>
      <c r="U42" s="10"/>
      <c r="V42" s="10"/>
      <c r="W42" s="10"/>
      <c r="X42" s="10"/>
      <c r="Y42" s="10"/>
    </row>
    <row r="43" spans="3:25" ht="15.75" customHeight="1" x14ac:dyDescent="0.3">
      <c r="C43" s="35">
        <f t="shared" si="2"/>
        <v>38</v>
      </c>
      <c r="D43" s="45" t="s">
        <v>125</v>
      </c>
      <c r="E43" s="38" t="s">
        <v>24</v>
      </c>
      <c r="F43" s="39" t="s">
        <v>116</v>
      </c>
      <c r="G43" s="38">
        <f t="shared" ca="1" si="3"/>
        <v>45</v>
      </c>
      <c r="H43" s="46"/>
      <c r="R43" s="10"/>
      <c r="S43" s="10"/>
      <c r="T43" s="10"/>
      <c r="U43" s="10"/>
      <c r="V43" s="10"/>
      <c r="W43" s="10"/>
      <c r="X43" s="10"/>
      <c r="Y43" s="10"/>
    </row>
    <row r="44" spans="3:25" ht="15.75" customHeight="1" x14ac:dyDescent="0.3">
      <c r="C44" s="35">
        <f t="shared" si="2"/>
        <v>39</v>
      </c>
      <c r="D44" s="43" t="s">
        <v>126</v>
      </c>
      <c r="E44" s="36" t="s">
        <v>24</v>
      </c>
      <c r="F44" s="37" t="s">
        <v>29</v>
      </c>
      <c r="G44" s="36">
        <f t="shared" ca="1" si="3"/>
        <v>175</v>
      </c>
      <c r="H44" s="44"/>
      <c r="R44" s="10"/>
      <c r="S44" s="10"/>
      <c r="T44" s="10"/>
      <c r="U44" s="10"/>
      <c r="V44" s="10"/>
      <c r="W44" s="10"/>
      <c r="X44" s="10"/>
      <c r="Y44" s="10"/>
    </row>
    <row r="45" spans="3:25" ht="15.75" customHeight="1" x14ac:dyDescent="0.3">
      <c r="C45" s="35">
        <f t="shared" si="2"/>
        <v>40</v>
      </c>
      <c r="D45" s="45" t="s">
        <v>127</v>
      </c>
      <c r="E45" s="38" t="s">
        <v>50</v>
      </c>
      <c r="F45" s="39"/>
      <c r="G45" s="38" t="str">
        <f t="shared" ca="1" si="3"/>
        <v>—</v>
      </c>
      <c r="H45" s="46" t="s">
        <v>128</v>
      </c>
      <c r="R45" s="10"/>
      <c r="S45" s="10"/>
      <c r="T45" s="10"/>
      <c r="U45" s="10"/>
      <c r="V45" s="10"/>
      <c r="W45" s="10"/>
      <c r="X45" s="10"/>
      <c r="Y45" s="10"/>
    </row>
    <row r="46" spans="3:25" ht="15.75" customHeight="1" x14ac:dyDescent="0.3">
      <c r="C46" s="35">
        <f t="shared" si="2"/>
        <v>41</v>
      </c>
      <c r="D46" s="43" t="s">
        <v>129</v>
      </c>
      <c r="E46" s="36" t="s">
        <v>24</v>
      </c>
      <c r="F46" s="37" t="s">
        <v>41</v>
      </c>
      <c r="G46" s="36">
        <f t="shared" ca="1" si="3"/>
        <v>131</v>
      </c>
      <c r="H46" s="44" t="s">
        <v>130</v>
      </c>
      <c r="R46" s="10"/>
      <c r="S46" s="10"/>
      <c r="T46" s="10"/>
      <c r="U46" s="10"/>
      <c r="V46" s="10"/>
      <c r="W46" s="10"/>
      <c r="X46" s="10"/>
      <c r="Y46" s="10"/>
    </row>
    <row r="47" spans="3:25" ht="15.75" customHeight="1" x14ac:dyDescent="0.3">
      <c r="C47" s="35">
        <f t="shared" si="2"/>
        <v>42</v>
      </c>
      <c r="D47" s="45" t="s">
        <v>131</v>
      </c>
      <c r="E47" s="38" t="s">
        <v>24</v>
      </c>
      <c r="F47" s="39" t="s">
        <v>47</v>
      </c>
      <c r="G47" s="38">
        <f t="shared" ca="1" si="3"/>
        <v>146</v>
      </c>
      <c r="H47" s="46" t="s">
        <v>130</v>
      </c>
      <c r="R47" s="10"/>
      <c r="S47" s="10"/>
      <c r="T47" s="10"/>
      <c r="U47" s="10"/>
      <c r="V47" s="10"/>
      <c r="W47" s="10"/>
      <c r="X47" s="10"/>
      <c r="Y47" s="10"/>
    </row>
    <row r="48" spans="3:25" ht="15.75" customHeight="1" x14ac:dyDescent="0.3">
      <c r="C48" s="35">
        <f t="shared" si="2"/>
        <v>43</v>
      </c>
      <c r="D48" s="43" t="s">
        <v>132</v>
      </c>
      <c r="E48" s="36" t="s">
        <v>24</v>
      </c>
      <c r="F48" s="37" t="s">
        <v>41</v>
      </c>
      <c r="G48" s="36">
        <f t="shared" ca="1" si="3"/>
        <v>131</v>
      </c>
      <c r="H48" s="44" t="s">
        <v>130</v>
      </c>
      <c r="R48" s="10"/>
      <c r="S48" s="10"/>
      <c r="T48" s="10"/>
      <c r="U48" s="10"/>
      <c r="V48" s="10"/>
      <c r="W48" s="10"/>
      <c r="X48" s="10"/>
      <c r="Y48" s="10"/>
    </row>
    <row r="49" spans="3:25" ht="15.75" customHeight="1" x14ac:dyDescent="0.3">
      <c r="C49" s="35">
        <f t="shared" si="2"/>
        <v>44</v>
      </c>
      <c r="D49" s="45" t="s">
        <v>133</v>
      </c>
      <c r="E49" s="38" t="s">
        <v>24</v>
      </c>
      <c r="F49" s="39" t="s">
        <v>41</v>
      </c>
      <c r="G49" s="38">
        <f t="shared" ca="1" si="3"/>
        <v>131</v>
      </c>
      <c r="H49" s="46" t="s">
        <v>130</v>
      </c>
      <c r="R49" s="10"/>
      <c r="S49" s="10"/>
      <c r="T49" s="10"/>
      <c r="U49" s="10"/>
      <c r="V49" s="10"/>
      <c r="W49" s="10"/>
      <c r="X49" s="10"/>
      <c r="Y49" s="10"/>
    </row>
    <row r="50" spans="3:25" ht="15.75" customHeight="1" x14ac:dyDescent="0.3">
      <c r="C50" s="35">
        <f t="shared" si="2"/>
        <v>45</v>
      </c>
      <c r="D50" s="43" t="s">
        <v>134</v>
      </c>
      <c r="E50" s="36" t="s">
        <v>24</v>
      </c>
      <c r="F50" s="37" t="s">
        <v>41</v>
      </c>
      <c r="G50" s="36">
        <f t="shared" ca="1" si="3"/>
        <v>131</v>
      </c>
      <c r="H50" s="44" t="s">
        <v>135</v>
      </c>
      <c r="R50" s="10"/>
      <c r="S50" s="10"/>
      <c r="T50" s="10"/>
      <c r="U50" s="10"/>
      <c r="V50" s="10"/>
      <c r="W50" s="10"/>
      <c r="X50" s="10"/>
      <c r="Y50" s="10"/>
    </row>
    <row r="51" spans="3:25" ht="15.75" customHeight="1" x14ac:dyDescent="0.3">
      <c r="C51" s="35">
        <f t="shared" si="2"/>
        <v>46</v>
      </c>
      <c r="D51" s="45" t="s">
        <v>136</v>
      </c>
      <c r="E51" s="38" t="s">
        <v>24</v>
      </c>
      <c r="F51" s="39" t="s">
        <v>137</v>
      </c>
      <c r="G51" s="38">
        <f t="shared" ca="1" si="3"/>
        <v>127</v>
      </c>
      <c r="H51" s="46" t="s">
        <v>138</v>
      </c>
      <c r="R51" s="10"/>
      <c r="S51" s="10"/>
      <c r="T51" s="10"/>
      <c r="U51" s="10"/>
      <c r="V51" s="10"/>
      <c r="W51" s="10"/>
      <c r="X51" s="10"/>
      <c r="Y51" s="10"/>
    </row>
    <row r="52" spans="3:25" ht="15.75" customHeight="1" x14ac:dyDescent="0.3">
      <c r="C52" s="35">
        <f t="shared" si="2"/>
        <v>47</v>
      </c>
      <c r="D52" s="43" t="s">
        <v>139</v>
      </c>
      <c r="E52" s="36" t="s">
        <v>24</v>
      </c>
      <c r="F52" s="37" t="s">
        <v>137</v>
      </c>
      <c r="G52" s="36">
        <f t="shared" ca="1" si="3"/>
        <v>127</v>
      </c>
      <c r="H52" s="44" t="s">
        <v>138</v>
      </c>
      <c r="R52" s="10"/>
      <c r="S52" s="10"/>
      <c r="T52" s="10"/>
      <c r="U52" s="10"/>
      <c r="V52" s="10"/>
      <c r="W52" s="10"/>
      <c r="X52" s="10"/>
      <c r="Y52" s="10"/>
    </row>
    <row r="53" spans="3:25" ht="15.75" customHeight="1" x14ac:dyDescent="0.3">
      <c r="C53" s="35">
        <f t="shared" si="2"/>
        <v>48</v>
      </c>
      <c r="D53" s="45" t="s">
        <v>140</v>
      </c>
      <c r="E53" s="38" t="s">
        <v>24</v>
      </c>
      <c r="F53" s="39">
        <v>46393</v>
      </c>
      <c r="G53" s="38">
        <f t="shared" ca="1" si="3"/>
        <v>124</v>
      </c>
      <c r="H53" s="46"/>
      <c r="R53" s="10"/>
      <c r="S53" s="10"/>
      <c r="T53" s="10"/>
      <c r="U53" s="10"/>
      <c r="V53" s="10"/>
      <c r="W53" s="10"/>
      <c r="X53" s="10"/>
      <c r="Y53" s="10"/>
    </row>
    <row r="54" spans="3:25" ht="15.75" customHeight="1" x14ac:dyDescent="0.3">
      <c r="C54" s="35">
        <f t="shared" si="2"/>
        <v>49</v>
      </c>
      <c r="D54" s="43" t="s">
        <v>141</v>
      </c>
      <c r="E54" s="36" t="s">
        <v>24</v>
      </c>
      <c r="F54" s="37" t="s">
        <v>41</v>
      </c>
      <c r="G54" s="36">
        <f t="shared" ca="1" si="3"/>
        <v>131</v>
      </c>
      <c r="H54" s="44"/>
      <c r="R54" s="10"/>
      <c r="S54" s="10"/>
      <c r="T54" s="10"/>
      <c r="U54" s="10"/>
      <c r="V54" s="10"/>
      <c r="W54" s="10"/>
      <c r="X54" s="10"/>
      <c r="Y54" s="10"/>
    </row>
    <row r="55" spans="3:25" ht="15.75" customHeight="1" x14ac:dyDescent="0.3">
      <c r="C55" s="35">
        <f t="shared" si="2"/>
        <v>50</v>
      </c>
      <c r="D55" s="45" t="s">
        <v>142</v>
      </c>
      <c r="E55" s="38" t="s">
        <v>24</v>
      </c>
      <c r="F55" s="39" t="s">
        <v>41</v>
      </c>
      <c r="G55" s="38">
        <f t="shared" ca="1" si="3"/>
        <v>131</v>
      </c>
      <c r="H55" s="46"/>
      <c r="R55" s="10"/>
      <c r="S55" s="10"/>
      <c r="T55" s="10"/>
      <c r="U55" s="10"/>
      <c r="V55" s="10"/>
      <c r="W55" s="10"/>
      <c r="X55" s="10"/>
      <c r="Y55" s="10"/>
    </row>
    <row r="56" spans="3:25" ht="15.75" customHeight="1" x14ac:dyDescent="0.3">
      <c r="C56" s="35">
        <f t="shared" si="2"/>
        <v>51</v>
      </c>
      <c r="D56" s="43" t="s">
        <v>143</v>
      </c>
      <c r="E56" s="36" t="s">
        <v>19</v>
      </c>
      <c r="F56" s="37"/>
      <c r="G56" s="36" t="str">
        <f t="shared" ca="1" si="3"/>
        <v>—</v>
      </c>
      <c r="H56" s="44"/>
      <c r="R56" s="10"/>
      <c r="S56" s="10"/>
      <c r="T56" s="10"/>
      <c r="U56" s="10"/>
      <c r="V56" s="10"/>
      <c r="W56" s="10"/>
      <c r="X56" s="10"/>
      <c r="Y56" s="10"/>
    </row>
    <row r="57" spans="3:25" ht="15.75" customHeight="1" x14ac:dyDescent="0.3">
      <c r="C57" s="35">
        <f t="shared" si="2"/>
        <v>52</v>
      </c>
      <c r="D57" s="45" t="s">
        <v>144</v>
      </c>
      <c r="E57" s="38" t="s">
        <v>24</v>
      </c>
      <c r="F57" s="39" t="s">
        <v>47</v>
      </c>
      <c r="G57" s="38">
        <f t="shared" ca="1" si="3"/>
        <v>146</v>
      </c>
      <c r="H57" s="46"/>
      <c r="R57" s="10"/>
      <c r="S57" s="10"/>
      <c r="T57" s="10"/>
      <c r="U57" s="10"/>
      <c r="V57" s="10"/>
      <c r="W57" s="10"/>
      <c r="X57" s="10"/>
      <c r="Y57" s="10"/>
    </row>
    <row r="58" spans="3:25" ht="15.75" customHeight="1" x14ac:dyDescent="0.3">
      <c r="C58" s="35">
        <f t="shared" si="2"/>
        <v>53</v>
      </c>
      <c r="D58" s="43" t="s">
        <v>145</v>
      </c>
      <c r="E58" s="36" t="s">
        <v>19</v>
      </c>
      <c r="F58" s="37"/>
      <c r="G58" s="36" t="str">
        <f t="shared" ca="1" si="3"/>
        <v>—</v>
      </c>
      <c r="H58" s="44"/>
      <c r="R58" s="10"/>
      <c r="S58" s="10"/>
      <c r="T58" s="10"/>
      <c r="U58" s="10"/>
      <c r="V58" s="10"/>
      <c r="W58" s="10"/>
      <c r="X58" s="10"/>
      <c r="Y58" s="10"/>
    </row>
    <row r="59" spans="3:25" ht="15.75" customHeight="1" x14ac:dyDescent="0.3">
      <c r="C59" s="35">
        <f t="shared" si="2"/>
        <v>54</v>
      </c>
      <c r="D59" s="45" t="s">
        <v>146</v>
      </c>
      <c r="E59" s="38" t="s">
        <v>24</v>
      </c>
      <c r="F59" s="39" t="s">
        <v>41</v>
      </c>
      <c r="G59" s="38">
        <f t="shared" ca="1" si="3"/>
        <v>131</v>
      </c>
      <c r="H59" s="46" t="s">
        <v>130</v>
      </c>
      <c r="R59" s="10"/>
      <c r="S59" s="10"/>
      <c r="T59" s="10"/>
      <c r="U59" s="10"/>
      <c r="V59" s="10"/>
      <c r="W59" s="10"/>
      <c r="X59" s="10"/>
      <c r="Y59" s="10"/>
    </row>
    <row r="60" spans="3:25" ht="15.75" customHeight="1" x14ac:dyDescent="0.3">
      <c r="C60" s="35">
        <f t="shared" si="2"/>
        <v>55</v>
      </c>
      <c r="D60" s="43" t="s">
        <v>147</v>
      </c>
      <c r="E60" s="36" t="s">
        <v>24</v>
      </c>
      <c r="F60" s="37" t="s">
        <v>137</v>
      </c>
      <c r="G60" s="36">
        <f t="shared" ca="1" si="3"/>
        <v>127</v>
      </c>
      <c r="H60" s="44"/>
      <c r="R60" s="10"/>
      <c r="S60" s="10"/>
      <c r="T60" s="10"/>
      <c r="U60" s="10"/>
      <c r="V60" s="10"/>
      <c r="W60" s="10"/>
      <c r="X60" s="10"/>
      <c r="Y60" s="10"/>
    </row>
    <row r="61" spans="3:25" ht="15.75" customHeight="1" x14ac:dyDescent="0.3">
      <c r="C61" s="35">
        <f t="shared" si="2"/>
        <v>56</v>
      </c>
      <c r="D61" s="45" t="s">
        <v>148</v>
      </c>
      <c r="E61" s="38" t="s">
        <v>24</v>
      </c>
      <c r="F61" s="39" t="s">
        <v>149</v>
      </c>
      <c r="G61" s="38">
        <f t="shared" ca="1" si="3"/>
        <v>133</v>
      </c>
      <c r="H61" s="46" t="s">
        <v>130</v>
      </c>
      <c r="R61" s="10"/>
      <c r="S61" s="10"/>
      <c r="T61" s="10"/>
      <c r="U61" s="10"/>
      <c r="V61" s="10"/>
      <c r="W61" s="10"/>
      <c r="X61" s="10"/>
      <c r="Y61" s="10"/>
    </row>
    <row r="62" spans="3:25" ht="15.75" customHeight="1" x14ac:dyDescent="0.3">
      <c r="C62" s="35">
        <f t="shared" si="2"/>
        <v>57</v>
      </c>
      <c r="D62" s="43" t="s">
        <v>150</v>
      </c>
      <c r="E62" s="36" t="s">
        <v>151</v>
      </c>
      <c r="F62" s="37"/>
      <c r="G62" s="36" t="str">
        <f t="shared" ca="1" si="3"/>
        <v>—</v>
      </c>
      <c r="H62" s="44" t="s">
        <v>152</v>
      </c>
      <c r="R62" s="10"/>
      <c r="S62" s="10"/>
      <c r="T62" s="10"/>
      <c r="U62" s="10"/>
      <c r="V62" s="10"/>
      <c r="W62" s="10"/>
      <c r="X62" s="10"/>
      <c r="Y62" s="10"/>
    </row>
    <row r="63" spans="3:25" ht="15.75" customHeight="1" x14ac:dyDescent="0.3">
      <c r="C63" s="35">
        <f t="shared" si="2"/>
        <v>58</v>
      </c>
      <c r="D63" s="45" t="s">
        <v>153</v>
      </c>
      <c r="E63" s="38" t="s">
        <v>24</v>
      </c>
      <c r="F63" s="39" t="s">
        <v>149</v>
      </c>
      <c r="G63" s="38">
        <f t="shared" ca="1" si="3"/>
        <v>133</v>
      </c>
      <c r="H63" s="46" t="s">
        <v>130</v>
      </c>
      <c r="R63" s="10"/>
      <c r="S63" s="10"/>
      <c r="T63" s="10"/>
      <c r="U63" s="10"/>
      <c r="V63" s="10"/>
      <c r="W63" s="10"/>
      <c r="X63" s="10"/>
      <c r="Y63" s="10"/>
    </row>
    <row r="64" spans="3:25" ht="15.75" customHeight="1" x14ac:dyDescent="0.3">
      <c r="C64" s="35">
        <f t="shared" si="2"/>
        <v>59</v>
      </c>
      <c r="D64" s="43" t="s">
        <v>154</v>
      </c>
      <c r="E64" s="36" t="s">
        <v>96</v>
      </c>
      <c r="F64" s="37"/>
      <c r="G64" s="36" t="str">
        <f t="shared" ca="1" si="3"/>
        <v>—</v>
      </c>
      <c r="H64" s="44" t="s">
        <v>155</v>
      </c>
      <c r="R64" s="10"/>
      <c r="S64" s="10"/>
      <c r="T64" s="10"/>
      <c r="U64" s="10"/>
      <c r="V64" s="10"/>
      <c r="W64" s="10"/>
      <c r="X64" s="10"/>
      <c r="Y64" s="10"/>
    </row>
    <row r="65" spans="3:25" ht="15.75" customHeight="1" x14ac:dyDescent="0.3">
      <c r="C65" s="35">
        <f t="shared" si="2"/>
        <v>60</v>
      </c>
      <c r="D65" s="45" t="s">
        <v>156</v>
      </c>
      <c r="E65" s="38" t="s">
        <v>24</v>
      </c>
      <c r="F65" s="39" t="s">
        <v>149</v>
      </c>
      <c r="G65" s="38">
        <f t="shared" ca="1" si="3"/>
        <v>133</v>
      </c>
      <c r="H65" s="46" t="s">
        <v>130</v>
      </c>
      <c r="R65" s="10"/>
      <c r="S65" s="10"/>
      <c r="T65" s="10"/>
      <c r="U65" s="10"/>
      <c r="V65" s="10"/>
      <c r="W65" s="10"/>
      <c r="X65" s="10"/>
      <c r="Y65" s="10"/>
    </row>
    <row r="66" spans="3:25" ht="15.75" customHeight="1" x14ac:dyDescent="0.3">
      <c r="C66" s="35">
        <f t="shared" si="2"/>
        <v>61</v>
      </c>
      <c r="D66" s="43" t="s">
        <v>157</v>
      </c>
      <c r="E66" s="36" t="s">
        <v>24</v>
      </c>
      <c r="F66" s="35" t="s">
        <v>70</v>
      </c>
      <c r="G66" s="36">
        <f t="shared" ca="1" si="3"/>
        <v>132</v>
      </c>
      <c r="H66" s="44" t="s">
        <v>130</v>
      </c>
      <c r="R66" s="10"/>
      <c r="S66" s="10"/>
      <c r="T66" s="10"/>
      <c r="U66" s="10"/>
      <c r="V66" s="10"/>
      <c r="W66" s="10"/>
      <c r="X66" s="10"/>
      <c r="Y66" s="10"/>
    </row>
    <row r="67" spans="3:25" ht="15.75" customHeight="1" x14ac:dyDescent="0.3">
      <c r="C67" s="35">
        <f t="shared" si="2"/>
        <v>62</v>
      </c>
      <c r="D67" s="45" t="s">
        <v>158</v>
      </c>
      <c r="E67" s="38" t="s">
        <v>24</v>
      </c>
      <c r="F67" s="38" t="s">
        <v>70</v>
      </c>
      <c r="G67" s="38">
        <f t="shared" ca="1" si="3"/>
        <v>132</v>
      </c>
      <c r="H67" s="46" t="s">
        <v>130</v>
      </c>
      <c r="R67" s="10"/>
      <c r="S67" s="10"/>
      <c r="T67" s="10"/>
      <c r="U67" s="10"/>
      <c r="V67" s="10"/>
      <c r="W67" s="10"/>
      <c r="X67" s="10"/>
      <c r="Y67" s="10"/>
    </row>
    <row r="68" spans="3:25" ht="15.75" customHeight="1" x14ac:dyDescent="0.3">
      <c r="C68" s="35">
        <f t="shared" si="2"/>
        <v>63</v>
      </c>
      <c r="D68" s="43" t="s">
        <v>159</v>
      </c>
      <c r="E68" s="36" t="s">
        <v>19</v>
      </c>
      <c r="F68" s="35"/>
      <c r="G68" s="36" t="str">
        <f t="shared" ca="1" si="3"/>
        <v>—</v>
      </c>
      <c r="H68" s="44" t="s">
        <v>130</v>
      </c>
      <c r="R68" s="10"/>
      <c r="S68" s="10"/>
      <c r="T68" s="10"/>
      <c r="U68" s="10"/>
      <c r="V68" s="10"/>
      <c r="W68" s="10"/>
      <c r="X68" s="10"/>
      <c r="Y68" s="10"/>
    </row>
    <row r="69" spans="3:25" ht="15.75" customHeight="1" x14ac:dyDescent="0.3">
      <c r="C69" s="35">
        <f t="shared" si="2"/>
        <v>64</v>
      </c>
      <c r="D69" s="45" t="s">
        <v>160</v>
      </c>
      <c r="E69" s="38" t="s">
        <v>24</v>
      </c>
      <c r="F69" s="48">
        <v>46406</v>
      </c>
      <c r="G69" s="38">
        <f t="shared" ca="1" si="3"/>
        <v>137</v>
      </c>
      <c r="H69" s="46" t="s">
        <v>161</v>
      </c>
      <c r="R69" s="10"/>
      <c r="S69" s="10"/>
      <c r="T69" s="10"/>
      <c r="U69" s="10"/>
      <c r="V69" s="10"/>
      <c r="W69" s="10"/>
      <c r="X69" s="10"/>
      <c r="Y69" s="10"/>
    </row>
    <row r="70" spans="3:25" ht="15.75" customHeight="1" x14ac:dyDescent="0.3">
      <c r="C70" s="35">
        <f t="shared" ref="C70:C95" si="4">IF(D70="","",ROW()-5)</f>
        <v>65</v>
      </c>
      <c r="D70" s="43" t="s">
        <v>162</v>
      </c>
      <c r="E70" s="36" t="s">
        <v>24</v>
      </c>
      <c r="F70" s="49">
        <v>46406</v>
      </c>
      <c r="G70" s="36">
        <f t="shared" ref="G70:G101" ca="1" si="5">IFERROR(IF(ISNUMBER(F70),F70-TODAY(),DATE(VALUE(RIGHT(F70,4)),VALUE(MID(F70,4,2)),VALUE(LEFT(F70,2)))-TODAY()),"—")</f>
        <v>137</v>
      </c>
      <c r="H70" s="44" t="s">
        <v>163</v>
      </c>
      <c r="R70" s="10"/>
      <c r="S70" s="10"/>
      <c r="T70" s="10"/>
      <c r="U70" s="10"/>
      <c r="V70" s="10"/>
      <c r="W70" s="10"/>
      <c r="X70" s="10"/>
      <c r="Y70" s="10"/>
    </row>
    <row r="71" spans="3:25" ht="15.75" customHeight="1" x14ac:dyDescent="0.3">
      <c r="C71" s="35">
        <f t="shared" si="4"/>
        <v>66</v>
      </c>
      <c r="D71" s="45" t="s">
        <v>164</v>
      </c>
      <c r="E71" s="38" t="s">
        <v>24</v>
      </c>
      <c r="F71" s="50">
        <v>46406</v>
      </c>
      <c r="G71" s="38">
        <f t="shared" ca="1" si="5"/>
        <v>137</v>
      </c>
      <c r="H71" s="46" t="s">
        <v>161</v>
      </c>
      <c r="R71" s="10"/>
      <c r="S71" s="10"/>
      <c r="T71" s="10"/>
      <c r="U71" s="10"/>
      <c r="V71" s="10"/>
      <c r="W71" s="10"/>
      <c r="X71" s="10"/>
      <c r="Y71" s="10"/>
    </row>
    <row r="72" spans="3:25" ht="15.75" customHeight="1" x14ac:dyDescent="0.3">
      <c r="C72" s="35">
        <f t="shared" si="4"/>
        <v>67</v>
      </c>
      <c r="D72" s="43" t="s">
        <v>165</v>
      </c>
      <c r="E72" s="36" t="s">
        <v>24</v>
      </c>
      <c r="F72" s="49" t="s">
        <v>166</v>
      </c>
      <c r="G72" s="36">
        <f t="shared" ca="1" si="5"/>
        <v>167</v>
      </c>
      <c r="H72" s="44"/>
      <c r="R72" s="10"/>
      <c r="S72" s="10"/>
      <c r="T72" s="10"/>
      <c r="U72" s="10"/>
      <c r="V72" s="10"/>
      <c r="W72" s="10"/>
      <c r="X72" s="10"/>
      <c r="Y72" s="10"/>
    </row>
    <row r="73" spans="3:25" ht="15.75" customHeight="1" x14ac:dyDescent="0.3">
      <c r="C73" s="35">
        <f t="shared" si="4"/>
        <v>68</v>
      </c>
      <c r="D73" s="45" t="s">
        <v>167</v>
      </c>
      <c r="E73" s="38" t="s">
        <v>24</v>
      </c>
      <c r="F73" s="38" t="s">
        <v>168</v>
      </c>
      <c r="G73" s="38">
        <f t="shared" ca="1" si="5"/>
        <v>169</v>
      </c>
      <c r="H73" s="46"/>
      <c r="R73" s="10"/>
      <c r="S73" s="10"/>
      <c r="T73" s="10"/>
      <c r="U73" s="10"/>
      <c r="V73" s="10"/>
      <c r="W73" s="10"/>
      <c r="X73" s="10"/>
      <c r="Y73" s="10"/>
    </row>
    <row r="74" spans="3:25" ht="15.75" customHeight="1" x14ac:dyDescent="0.3">
      <c r="C74" s="35">
        <f t="shared" si="4"/>
        <v>69</v>
      </c>
      <c r="D74" s="43" t="s">
        <v>169</v>
      </c>
      <c r="E74" s="36" t="s">
        <v>24</v>
      </c>
      <c r="F74" s="35" t="s">
        <v>170</v>
      </c>
      <c r="G74" s="36">
        <f t="shared" ca="1" si="5"/>
        <v>159</v>
      </c>
      <c r="H74" s="44"/>
      <c r="R74" s="10"/>
      <c r="S74" s="10"/>
      <c r="T74" s="10"/>
      <c r="U74" s="10"/>
      <c r="V74" s="10"/>
      <c r="W74" s="10"/>
      <c r="X74" s="10"/>
      <c r="Y74" s="10"/>
    </row>
    <row r="75" spans="3:25" ht="15.75" customHeight="1" x14ac:dyDescent="0.3">
      <c r="C75" s="35">
        <f t="shared" si="4"/>
        <v>70</v>
      </c>
      <c r="D75" s="45" t="s">
        <v>171</v>
      </c>
      <c r="E75" s="38" t="s">
        <v>24</v>
      </c>
      <c r="F75" s="38" t="s">
        <v>170</v>
      </c>
      <c r="G75" s="38">
        <f t="shared" ca="1" si="5"/>
        <v>159</v>
      </c>
      <c r="H75" s="46"/>
      <c r="R75" s="10"/>
      <c r="S75" s="10"/>
      <c r="T75" s="10"/>
      <c r="U75" s="10"/>
      <c r="V75" s="10"/>
      <c r="W75" s="10"/>
      <c r="X75" s="10"/>
      <c r="Y75" s="10"/>
    </row>
    <row r="76" spans="3:25" ht="15.75" customHeight="1" x14ac:dyDescent="0.3">
      <c r="C76" s="35">
        <f t="shared" si="4"/>
        <v>71</v>
      </c>
      <c r="D76" s="43" t="s">
        <v>172</v>
      </c>
      <c r="E76" s="36" t="s">
        <v>24</v>
      </c>
      <c r="F76" s="35" t="s">
        <v>170</v>
      </c>
      <c r="G76" s="36">
        <f t="shared" ca="1" si="5"/>
        <v>159</v>
      </c>
      <c r="H76" s="44"/>
      <c r="R76" s="10"/>
      <c r="S76" s="10"/>
      <c r="T76" s="10"/>
      <c r="U76" s="10"/>
      <c r="V76" s="10"/>
      <c r="W76" s="10"/>
      <c r="X76" s="10"/>
      <c r="Y76" s="10"/>
    </row>
    <row r="77" spans="3:25" ht="15.75" customHeight="1" x14ac:dyDescent="0.3">
      <c r="C77" s="35">
        <f t="shared" si="4"/>
        <v>72</v>
      </c>
      <c r="D77" s="45" t="s">
        <v>173</v>
      </c>
      <c r="E77" s="38" t="s">
        <v>24</v>
      </c>
      <c r="F77" s="38" t="s">
        <v>174</v>
      </c>
      <c r="G77" s="38">
        <f t="shared" ca="1" si="5"/>
        <v>151</v>
      </c>
      <c r="H77" s="46"/>
      <c r="R77" s="10"/>
      <c r="S77" s="10"/>
      <c r="T77" s="10"/>
      <c r="U77" s="10"/>
      <c r="V77" s="10"/>
      <c r="W77" s="10"/>
      <c r="X77" s="10"/>
      <c r="Y77" s="10"/>
    </row>
    <row r="78" spans="3:25" ht="15.75" customHeight="1" x14ac:dyDescent="0.3">
      <c r="C78" s="35">
        <f t="shared" si="4"/>
        <v>73</v>
      </c>
      <c r="D78" s="43" t="s">
        <v>175</v>
      </c>
      <c r="E78" s="36" t="s">
        <v>24</v>
      </c>
      <c r="F78" s="35" t="s">
        <v>33</v>
      </c>
      <c r="G78" s="36">
        <f t="shared" ca="1" si="5"/>
        <v>147</v>
      </c>
      <c r="H78" s="44"/>
      <c r="R78" s="10"/>
      <c r="S78" s="10"/>
      <c r="T78" s="10"/>
      <c r="U78" s="10"/>
      <c r="V78" s="10"/>
      <c r="W78" s="10"/>
      <c r="X78" s="10"/>
      <c r="Y78" s="10"/>
    </row>
    <row r="79" spans="3:25" ht="15.75" customHeight="1" x14ac:dyDescent="0.3">
      <c r="C79" s="35">
        <f t="shared" si="4"/>
        <v>74</v>
      </c>
      <c r="D79" s="45" t="s">
        <v>176</v>
      </c>
      <c r="E79" s="38" t="s">
        <v>24</v>
      </c>
      <c r="F79" s="38" t="s">
        <v>47</v>
      </c>
      <c r="G79" s="38">
        <f t="shared" ca="1" si="5"/>
        <v>146</v>
      </c>
      <c r="H79" s="46"/>
      <c r="R79" s="10"/>
      <c r="S79" s="10"/>
      <c r="T79" s="10"/>
      <c r="U79" s="10"/>
      <c r="V79" s="10"/>
      <c r="W79" s="10"/>
      <c r="X79" s="10"/>
      <c r="Y79" s="10"/>
    </row>
    <row r="80" spans="3:25" ht="15.75" customHeight="1" x14ac:dyDescent="0.3">
      <c r="C80" s="35">
        <f t="shared" si="4"/>
        <v>75</v>
      </c>
      <c r="D80" s="43" t="s">
        <v>177</v>
      </c>
      <c r="E80" s="36" t="s">
        <v>24</v>
      </c>
      <c r="F80" s="35" t="s">
        <v>47</v>
      </c>
      <c r="G80" s="36">
        <f t="shared" ca="1" si="5"/>
        <v>146</v>
      </c>
      <c r="H80" s="44"/>
      <c r="R80" s="10"/>
      <c r="S80" s="10"/>
      <c r="T80" s="10"/>
      <c r="U80" s="10"/>
      <c r="V80" s="10"/>
      <c r="W80" s="10"/>
      <c r="X80" s="10"/>
      <c r="Y80" s="10"/>
    </row>
    <row r="81" spans="3:25" ht="15.75" customHeight="1" x14ac:dyDescent="0.3">
      <c r="C81" s="35">
        <f t="shared" si="4"/>
        <v>76</v>
      </c>
      <c r="D81" s="45" t="s">
        <v>178</v>
      </c>
      <c r="E81" s="38" t="s">
        <v>24</v>
      </c>
      <c r="F81" s="38" t="s">
        <v>179</v>
      </c>
      <c r="G81" s="38">
        <f t="shared" ca="1" si="5"/>
        <v>111</v>
      </c>
      <c r="H81" s="46"/>
      <c r="R81" s="10"/>
      <c r="S81" s="10"/>
      <c r="T81" s="10"/>
      <c r="U81" s="10"/>
      <c r="V81" s="10"/>
      <c r="W81" s="10"/>
      <c r="X81" s="10"/>
      <c r="Y81" s="10"/>
    </row>
    <row r="82" spans="3:25" ht="15.75" customHeight="1" x14ac:dyDescent="0.3">
      <c r="C82" s="35">
        <f t="shared" si="4"/>
        <v>77</v>
      </c>
      <c r="D82" s="43" t="s">
        <v>180</v>
      </c>
      <c r="E82" s="36" t="s">
        <v>24</v>
      </c>
      <c r="F82" s="35" t="s">
        <v>181</v>
      </c>
      <c r="G82" s="36">
        <f t="shared" ca="1" si="5"/>
        <v>144</v>
      </c>
      <c r="H82" s="44"/>
      <c r="R82" s="10"/>
      <c r="S82" s="10"/>
      <c r="T82" s="10"/>
      <c r="U82" s="10"/>
      <c r="V82" s="10"/>
      <c r="W82" s="10"/>
      <c r="X82" s="10"/>
      <c r="Y82" s="10"/>
    </row>
    <row r="83" spans="3:25" ht="15.75" customHeight="1" x14ac:dyDescent="0.3">
      <c r="C83" s="35">
        <f t="shared" si="4"/>
        <v>78</v>
      </c>
      <c r="D83" s="45" t="s">
        <v>182</v>
      </c>
      <c r="E83" s="38" t="s">
        <v>24</v>
      </c>
      <c r="F83" s="38" t="s">
        <v>181</v>
      </c>
      <c r="G83" s="38">
        <f t="shared" ca="1" si="5"/>
        <v>144</v>
      </c>
      <c r="H83" s="46"/>
      <c r="R83" s="10"/>
      <c r="S83" s="10"/>
      <c r="T83" s="10"/>
      <c r="U83" s="10"/>
      <c r="V83" s="10"/>
      <c r="W83" s="10"/>
      <c r="X83" s="10"/>
      <c r="Y83" s="10"/>
    </row>
    <row r="84" spans="3:25" ht="15.75" customHeight="1" x14ac:dyDescent="0.3">
      <c r="C84" s="35">
        <f t="shared" si="4"/>
        <v>79</v>
      </c>
      <c r="D84" s="43" t="s">
        <v>183</v>
      </c>
      <c r="E84" s="36" t="s">
        <v>24</v>
      </c>
      <c r="F84" s="35" t="s">
        <v>184</v>
      </c>
      <c r="G84" s="36">
        <f t="shared" ca="1" si="5"/>
        <v>137</v>
      </c>
      <c r="H84" s="44"/>
      <c r="R84" s="10"/>
      <c r="S84" s="10"/>
      <c r="T84" s="10"/>
      <c r="U84" s="10"/>
      <c r="V84" s="10"/>
      <c r="W84" s="10"/>
      <c r="X84" s="10"/>
      <c r="Y84" s="10"/>
    </row>
    <row r="85" spans="3:25" ht="15.75" customHeight="1" x14ac:dyDescent="0.3">
      <c r="C85" s="35">
        <f t="shared" si="4"/>
        <v>80</v>
      </c>
      <c r="D85" s="45" t="s">
        <v>185</v>
      </c>
      <c r="E85" s="38" t="s">
        <v>24</v>
      </c>
      <c r="F85" s="38" t="s">
        <v>56</v>
      </c>
      <c r="G85" s="38">
        <f t="shared" ca="1" si="5"/>
        <v>178</v>
      </c>
      <c r="H85" s="46"/>
      <c r="R85" s="10"/>
      <c r="S85" s="10"/>
      <c r="T85" s="10"/>
      <c r="U85" s="10"/>
      <c r="V85" s="10"/>
      <c r="W85" s="10"/>
      <c r="X85" s="10"/>
      <c r="Y85" s="10"/>
    </row>
    <row r="86" spans="3:25" ht="15.75" customHeight="1" x14ac:dyDescent="0.3">
      <c r="C86" s="35">
        <f t="shared" si="4"/>
        <v>81</v>
      </c>
      <c r="D86" s="43" t="s">
        <v>186</v>
      </c>
      <c r="E86" s="36" t="s">
        <v>24</v>
      </c>
      <c r="F86" s="35" t="s">
        <v>56</v>
      </c>
      <c r="G86" s="36">
        <f t="shared" ca="1" si="5"/>
        <v>178</v>
      </c>
      <c r="H86" s="44"/>
      <c r="R86" s="10"/>
      <c r="S86" s="10"/>
      <c r="T86" s="10"/>
      <c r="U86" s="10"/>
      <c r="V86" s="10"/>
      <c r="W86" s="10"/>
      <c r="X86" s="10"/>
      <c r="Y86" s="10"/>
    </row>
    <row r="87" spans="3:25" ht="15.75" customHeight="1" x14ac:dyDescent="0.3">
      <c r="C87" s="35">
        <f t="shared" si="4"/>
        <v>82</v>
      </c>
      <c r="D87" s="45" t="s">
        <v>187</v>
      </c>
      <c r="E87" s="38" t="s">
        <v>24</v>
      </c>
      <c r="F87" s="38" t="s">
        <v>56</v>
      </c>
      <c r="G87" s="38">
        <f t="shared" ca="1" si="5"/>
        <v>178</v>
      </c>
      <c r="H87" s="46"/>
      <c r="R87" s="10"/>
      <c r="S87" s="10"/>
      <c r="T87" s="10"/>
      <c r="U87" s="10"/>
      <c r="V87" s="10"/>
      <c r="W87" s="10"/>
      <c r="X87" s="10"/>
      <c r="Y87" s="10"/>
    </row>
    <row r="88" spans="3:25" ht="15.75" customHeight="1" x14ac:dyDescent="0.3">
      <c r="C88" s="35">
        <f t="shared" si="4"/>
        <v>83</v>
      </c>
      <c r="D88" s="43" t="s">
        <v>188</v>
      </c>
      <c r="E88" s="36" t="s">
        <v>24</v>
      </c>
      <c r="F88" s="35" t="s">
        <v>56</v>
      </c>
      <c r="G88" s="36">
        <f t="shared" ca="1" si="5"/>
        <v>178</v>
      </c>
      <c r="H88" s="44"/>
      <c r="R88" s="10"/>
      <c r="S88" s="10"/>
      <c r="T88" s="10"/>
      <c r="U88" s="10"/>
      <c r="V88" s="10"/>
      <c r="W88" s="10"/>
      <c r="X88" s="10"/>
      <c r="Y88" s="10"/>
    </row>
    <row r="89" spans="3:25" ht="15.75" customHeight="1" x14ac:dyDescent="0.3">
      <c r="C89" s="35">
        <f t="shared" si="4"/>
        <v>84</v>
      </c>
      <c r="D89" s="45" t="s">
        <v>189</v>
      </c>
      <c r="E89" s="38" t="s">
        <v>24</v>
      </c>
      <c r="F89" s="38" t="s">
        <v>56</v>
      </c>
      <c r="G89" s="38">
        <f t="shared" ca="1" si="5"/>
        <v>178</v>
      </c>
      <c r="H89" s="46"/>
      <c r="R89" s="10"/>
      <c r="S89" s="10"/>
      <c r="T89" s="10"/>
      <c r="U89" s="10"/>
      <c r="V89" s="10"/>
      <c r="W89" s="10"/>
      <c r="X89" s="10"/>
      <c r="Y89" s="10"/>
    </row>
    <row r="90" spans="3:25" ht="15.75" customHeight="1" x14ac:dyDescent="0.3">
      <c r="C90" s="35">
        <f t="shared" si="4"/>
        <v>85</v>
      </c>
      <c r="D90" s="43" t="s">
        <v>190</v>
      </c>
      <c r="E90" s="36" t="s">
        <v>191</v>
      </c>
      <c r="F90" s="35"/>
      <c r="G90" s="36" t="str">
        <f t="shared" ca="1" si="5"/>
        <v>—</v>
      </c>
      <c r="H90" s="44"/>
      <c r="R90" s="10"/>
      <c r="S90" s="10"/>
      <c r="T90" s="10"/>
      <c r="U90" s="10"/>
      <c r="V90" s="10"/>
      <c r="W90" s="10"/>
      <c r="X90" s="10"/>
      <c r="Y90" s="10"/>
    </row>
    <row r="91" spans="3:25" ht="15.75" customHeight="1" x14ac:dyDescent="0.3">
      <c r="C91" s="35">
        <f t="shared" si="4"/>
        <v>86</v>
      </c>
      <c r="D91" s="45" t="s">
        <v>192</v>
      </c>
      <c r="E91" s="38" t="s">
        <v>24</v>
      </c>
      <c r="F91" s="38" t="s">
        <v>56</v>
      </c>
      <c r="G91" s="38">
        <f t="shared" ca="1" si="5"/>
        <v>178</v>
      </c>
      <c r="H91" s="46"/>
      <c r="R91" s="10"/>
      <c r="S91" s="10"/>
      <c r="T91" s="10"/>
      <c r="U91" s="10"/>
      <c r="V91" s="10"/>
      <c r="W91" s="10"/>
      <c r="X91" s="10"/>
      <c r="Y91" s="10"/>
    </row>
    <row r="92" spans="3:25" ht="15.75" customHeight="1" x14ac:dyDescent="0.3">
      <c r="C92" s="35">
        <f t="shared" si="4"/>
        <v>87</v>
      </c>
      <c r="D92" s="43" t="s">
        <v>193</v>
      </c>
      <c r="E92" s="36" t="s">
        <v>24</v>
      </c>
      <c r="F92" s="35" t="s">
        <v>29</v>
      </c>
      <c r="G92" s="36">
        <f t="shared" ca="1" si="5"/>
        <v>175</v>
      </c>
      <c r="H92" s="44"/>
      <c r="R92" s="10"/>
      <c r="S92" s="10"/>
      <c r="T92" s="10"/>
      <c r="U92" s="10"/>
      <c r="V92" s="10"/>
      <c r="W92" s="10"/>
      <c r="X92" s="10"/>
      <c r="Y92" s="10"/>
    </row>
    <row r="93" spans="3:25" ht="15.75" customHeight="1" x14ac:dyDescent="0.3">
      <c r="C93" s="35">
        <f t="shared" si="4"/>
        <v>88</v>
      </c>
      <c r="D93" s="45" t="s">
        <v>194</v>
      </c>
      <c r="E93" s="38" t="s">
        <v>50</v>
      </c>
      <c r="F93" s="38"/>
      <c r="G93" s="38" t="str">
        <f t="shared" ca="1" si="5"/>
        <v>—</v>
      </c>
      <c r="H93" s="46"/>
      <c r="R93" s="10"/>
      <c r="S93" s="10"/>
      <c r="T93" s="10"/>
      <c r="U93" s="10"/>
      <c r="V93" s="10"/>
      <c r="W93" s="10"/>
      <c r="X93" s="10"/>
      <c r="Y93" s="10"/>
    </row>
    <row r="94" spans="3:25" ht="15.75" customHeight="1" x14ac:dyDescent="0.3">
      <c r="C94" s="35" t="str">
        <f t="shared" si="4"/>
        <v/>
      </c>
      <c r="D94" s="43"/>
      <c r="E94" s="36"/>
      <c r="F94" s="35"/>
      <c r="G94" s="36" t="str">
        <f t="shared" ca="1" si="5"/>
        <v>—</v>
      </c>
      <c r="H94" s="44"/>
      <c r="R94" s="10"/>
      <c r="S94" s="10"/>
      <c r="T94" s="10"/>
      <c r="U94" s="10"/>
      <c r="V94" s="10"/>
      <c r="W94" s="10"/>
      <c r="X94" s="10"/>
      <c r="Y94" s="10"/>
    </row>
    <row r="95" spans="3:25" ht="15.75" customHeight="1" x14ac:dyDescent="0.3">
      <c r="C95" s="35" t="str">
        <f t="shared" si="4"/>
        <v/>
      </c>
      <c r="D95" s="45"/>
      <c r="E95" s="38"/>
      <c r="F95" s="38"/>
      <c r="G95" s="38" t="str">
        <f t="shared" ca="1" si="5"/>
        <v>—</v>
      </c>
      <c r="H95" s="46"/>
      <c r="R95" s="10"/>
      <c r="S95" s="10"/>
      <c r="T95" s="10"/>
      <c r="U95" s="10"/>
      <c r="V95" s="10"/>
      <c r="W95" s="10"/>
      <c r="X95" s="10"/>
      <c r="Y95" s="10"/>
    </row>
    <row r="96" spans="3:25" ht="15.75" customHeight="1" x14ac:dyDescent="0.3">
      <c r="R96" s="10"/>
      <c r="S96" s="10"/>
      <c r="T96" s="10"/>
      <c r="U96" s="10"/>
      <c r="V96" s="10"/>
      <c r="W96" s="10"/>
      <c r="X96" s="10"/>
      <c r="Y96" s="10"/>
    </row>
    <row r="97" spans="18:25" ht="15.75" customHeight="1" x14ac:dyDescent="0.3">
      <c r="R97" s="10"/>
      <c r="S97" s="10"/>
      <c r="T97" s="10"/>
      <c r="U97" s="10"/>
      <c r="V97" s="10"/>
      <c r="W97" s="10"/>
      <c r="X97" s="10"/>
      <c r="Y97" s="10"/>
    </row>
    <row r="98" spans="18:25" ht="15.75" customHeight="1" x14ac:dyDescent="0.3">
      <c r="R98" s="10"/>
      <c r="S98" s="10"/>
      <c r="T98" s="10"/>
      <c r="U98" s="10"/>
      <c r="V98" s="10"/>
      <c r="W98" s="10"/>
      <c r="X98" s="10"/>
      <c r="Y98" s="10"/>
    </row>
    <row r="99" spans="18:25" ht="15.75" customHeight="1" x14ac:dyDescent="0.3">
      <c r="R99" s="10"/>
      <c r="S99" s="10"/>
      <c r="T99" s="10"/>
      <c r="U99" s="10"/>
      <c r="V99" s="10"/>
      <c r="W99" s="10"/>
      <c r="X99" s="10"/>
      <c r="Y99" s="10"/>
    </row>
    <row r="100" spans="18:25" ht="15.75" customHeight="1" x14ac:dyDescent="0.3">
      <c r="R100" s="10"/>
      <c r="S100" s="10"/>
      <c r="T100" s="10"/>
      <c r="U100" s="10"/>
      <c r="V100" s="10"/>
      <c r="W100" s="10"/>
      <c r="X100" s="10"/>
      <c r="Y100" s="10"/>
    </row>
    <row r="101" spans="18:25" ht="15.75" customHeight="1" x14ac:dyDescent="0.3">
      <c r="R101" s="10"/>
      <c r="S101" s="10"/>
      <c r="T101" s="10"/>
      <c r="U101" s="10"/>
      <c r="V101" s="10"/>
      <c r="W101" s="10"/>
      <c r="X101" s="10"/>
      <c r="Y101" s="10"/>
    </row>
    <row r="102" spans="18:25" ht="15.75" customHeight="1" x14ac:dyDescent="0.3">
      <c r="R102" s="10"/>
      <c r="S102" s="10"/>
      <c r="T102" s="10"/>
      <c r="U102" s="10"/>
      <c r="V102" s="10"/>
      <c r="W102" s="10"/>
      <c r="X102" s="10"/>
      <c r="Y102" s="10"/>
    </row>
    <row r="103" spans="18:25" ht="15.75" customHeight="1" x14ac:dyDescent="0.3">
      <c r="R103" s="10"/>
      <c r="S103" s="10"/>
      <c r="T103" s="10"/>
      <c r="U103" s="10"/>
      <c r="V103" s="10"/>
      <c r="W103" s="10"/>
      <c r="X103" s="10"/>
      <c r="Y103" s="10"/>
    </row>
    <row r="104" spans="18:25" ht="15.75" customHeight="1" x14ac:dyDescent="0.3">
      <c r="R104" s="10"/>
      <c r="S104" s="10"/>
      <c r="T104" s="10"/>
      <c r="U104" s="10"/>
      <c r="V104" s="10"/>
      <c r="W104" s="10"/>
      <c r="X104" s="10"/>
      <c r="Y104" s="10"/>
    </row>
    <row r="105" spans="18:25" ht="15.75" customHeight="1" x14ac:dyDescent="0.3">
      <c r="R105" s="10"/>
      <c r="S105" s="10"/>
      <c r="T105" s="10"/>
      <c r="U105" s="10"/>
      <c r="V105" s="10"/>
      <c r="W105" s="10"/>
      <c r="X105" s="10"/>
      <c r="Y105" s="10"/>
    </row>
    <row r="106" spans="18:25" ht="15.75" customHeight="1" x14ac:dyDescent="0.3">
      <c r="R106" s="10"/>
      <c r="S106" s="10"/>
      <c r="T106" s="10"/>
      <c r="U106" s="10"/>
      <c r="V106" s="10"/>
      <c r="W106" s="10"/>
      <c r="X106" s="10"/>
      <c r="Y106" s="10"/>
    </row>
    <row r="107" spans="18:25" ht="15.75" customHeight="1" x14ac:dyDescent="0.3">
      <c r="R107" s="10"/>
      <c r="S107" s="10"/>
      <c r="T107" s="10"/>
      <c r="U107" s="10"/>
      <c r="V107" s="10"/>
      <c r="W107" s="10"/>
      <c r="X107" s="10"/>
      <c r="Y107" s="10"/>
    </row>
    <row r="108" spans="18:25" ht="15.75" customHeight="1" x14ac:dyDescent="0.3">
      <c r="R108" s="10"/>
      <c r="S108" s="10"/>
      <c r="T108" s="10"/>
      <c r="U108" s="10"/>
      <c r="V108" s="10"/>
      <c r="W108" s="10"/>
      <c r="X108" s="10"/>
      <c r="Y108" s="10"/>
    </row>
    <row r="109" spans="18:25" ht="15.75" customHeight="1" x14ac:dyDescent="0.3">
      <c r="R109" s="10"/>
      <c r="S109" s="10"/>
      <c r="T109" s="10"/>
      <c r="U109" s="10"/>
      <c r="V109" s="10"/>
      <c r="W109" s="10"/>
      <c r="X109" s="10"/>
      <c r="Y109" s="10"/>
    </row>
    <row r="110" spans="18:25" ht="15.75" customHeight="1" x14ac:dyDescent="0.3">
      <c r="R110" s="10"/>
      <c r="S110" s="10"/>
      <c r="T110" s="10"/>
      <c r="U110" s="10"/>
      <c r="V110" s="10"/>
      <c r="W110" s="10"/>
      <c r="X110" s="10"/>
      <c r="Y110" s="10"/>
    </row>
    <row r="111" spans="18:25" ht="15.75" customHeight="1" x14ac:dyDescent="0.3">
      <c r="R111" s="10"/>
      <c r="S111" s="10"/>
      <c r="T111" s="10"/>
      <c r="U111" s="10"/>
      <c r="V111" s="10"/>
      <c r="W111" s="10"/>
      <c r="X111" s="10"/>
      <c r="Y111" s="10"/>
    </row>
    <row r="112" spans="18:25" ht="15.75" customHeight="1" x14ac:dyDescent="0.3">
      <c r="R112" s="10"/>
      <c r="S112" s="10"/>
      <c r="T112" s="10"/>
      <c r="U112" s="10"/>
      <c r="V112" s="10"/>
      <c r="W112" s="10"/>
      <c r="X112" s="10"/>
      <c r="Y112" s="10"/>
    </row>
    <row r="113" spans="18:25" ht="15.75" customHeight="1" x14ac:dyDescent="0.3">
      <c r="R113" s="10"/>
      <c r="S113" s="10"/>
      <c r="T113" s="10"/>
      <c r="U113" s="10"/>
      <c r="V113" s="10"/>
      <c r="W113" s="10"/>
      <c r="X113" s="10"/>
      <c r="Y113" s="10"/>
    </row>
    <row r="114" spans="18:25" ht="15.75" customHeight="1" x14ac:dyDescent="0.3">
      <c r="R114" s="10"/>
      <c r="S114" s="10"/>
      <c r="T114" s="10"/>
      <c r="U114" s="10"/>
      <c r="V114" s="10"/>
      <c r="W114" s="10"/>
      <c r="X114" s="10"/>
      <c r="Y114" s="10"/>
    </row>
    <row r="115" spans="18:25" ht="15.75" customHeight="1" x14ac:dyDescent="0.3">
      <c r="R115" s="10"/>
      <c r="S115" s="10"/>
      <c r="T115" s="10"/>
      <c r="U115" s="10"/>
      <c r="V115" s="10"/>
      <c r="W115" s="10"/>
      <c r="X115" s="10"/>
      <c r="Y115" s="10"/>
    </row>
    <row r="116" spans="18:25" ht="15.75" customHeight="1" x14ac:dyDescent="0.3">
      <c r="R116" s="10"/>
      <c r="S116" s="10"/>
      <c r="T116" s="10"/>
      <c r="U116" s="10"/>
      <c r="V116" s="10"/>
      <c r="W116" s="10"/>
      <c r="X116" s="10"/>
      <c r="Y116" s="10"/>
    </row>
    <row r="117" spans="18:25" ht="15.75" customHeight="1" x14ac:dyDescent="0.3">
      <c r="R117" s="10"/>
      <c r="S117" s="10"/>
      <c r="T117" s="10"/>
      <c r="U117" s="10"/>
      <c r="V117" s="10"/>
      <c r="W117" s="10"/>
      <c r="X117" s="10"/>
      <c r="Y117" s="10"/>
    </row>
    <row r="118" spans="18:25" ht="15.75" customHeight="1" x14ac:dyDescent="0.3">
      <c r="R118" s="10"/>
      <c r="S118" s="10"/>
      <c r="T118" s="10"/>
      <c r="U118" s="10"/>
      <c r="V118" s="10"/>
      <c r="W118" s="10"/>
      <c r="X118" s="10"/>
      <c r="Y118" s="10"/>
    </row>
    <row r="119" spans="18:25" ht="15.75" customHeight="1" x14ac:dyDescent="0.3">
      <c r="R119" s="10"/>
      <c r="S119" s="10"/>
      <c r="T119" s="10"/>
      <c r="U119" s="10"/>
      <c r="V119" s="10"/>
      <c r="W119" s="10"/>
      <c r="X119" s="10"/>
      <c r="Y119" s="10"/>
    </row>
    <row r="120" spans="18:25" ht="15.75" customHeight="1" x14ac:dyDescent="0.3">
      <c r="R120" s="10"/>
      <c r="S120" s="10"/>
      <c r="T120" s="10"/>
      <c r="U120" s="10"/>
      <c r="V120" s="10"/>
      <c r="W120" s="10"/>
      <c r="X120" s="10"/>
      <c r="Y120" s="10"/>
    </row>
    <row r="121" spans="18:25" ht="15.75" customHeight="1" x14ac:dyDescent="0.3">
      <c r="R121" s="10"/>
      <c r="S121" s="10"/>
      <c r="T121" s="10"/>
      <c r="U121" s="10"/>
      <c r="V121" s="10"/>
      <c r="W121" s="10"/>
      <c r="X121" s="10"/>
      <c r="Y121" s="10"/>
    </row>
    <row r="122" spans="18:25" ht="15.75" customHeight="1" x14ac:dyDescent="0.3">
      <c r="R122" s="10"/>
      <c r="S122" s="10"/>
      <c r="T122" s="10"/>
      <c r="U122" s="10"/>
      <c r="V122" s="10"/>
      <c r="W122" s="10"/>
      <c r="X122" s="10"/>
      <c r="Y122" s="10"/>
    </row>
    <row r="123" spans="18:25" ht="15.75" customHeight="1" x14ac:dyDescent="0.3">
      <c r="R123" s="10"/>
      <c r="S123" s="10"/>
      <c r="T123" s="10"/>
      <c r="U123" s="10"/>
      <c r="V123" s="10"/>
      <c r="W123" s="10"/>
      <c r="X123" s="10"/>
      <c r="Y123" s="10"/>
    </row>
    <row r="124" spans="18:25" ht="15.75" customHeight="1" x14ac:dyDescent="0.3">
      <c r="R124" s="10"/>
      <c r="S124" s="10"/>
      <c r="T124" s="10"/>
      <c r="U124" s="10"/>
      <c r="V124" s="10"/>
      <c r="W124" s="10"/>
      <c r="X124" s="10"/>
      <c r="Y124" s="10"/>
    </row>
    <row r="125" spans="18:25" ht="15.75" customHeight="1" x14ac:dyDescent="0.3">
      <c r="R125" s="10"/>
      <c r="S125" s="10"/>
      <c r="T125" s="10"/>
      <c r="U125" s="10"/>
      <c r="V125" s="10"/>
      <c r="W125" s="10"/>
      <c r="X125" s="10"/>
      <c r="Y125" s="10"/>
    </row>
    <row r="126" spans="18:25" ht="15.75" customHeight="1" x14ac:dyDescent="0.3">
      <c r="R126" s="10"/>
      <c r="S126" s="10"/>
      <c r="T126" s="10"/>
      <c r="U126" s="10"/>
      <c r="V126" s="10"/>
      <c r="W126" s="10"/>
      <c r="X126" s="10"/>
      <c r="Y126" s="10"/>
    </row>
    <row r="127" spans="18:25" ht="15.75" customHeight="1" x14ac:dyDescent="0.3">
      <c r="R127" s="10"/>
      <c r="S127" s="10"/>
      <c r="T127" s="10"/>
      <c r="U127" s="10"/>
      <c r="V127" s="10"/>
      <c r="W127" s="10"/>
      <c r="X127" s="10"/>
      <c r="Y127" s="10"/>
    </row>
    <row r="128" spans="18:25" ht="15.75" customHeight="1" x14ac:dyDescent="0.3">
      <c r="R128" s="10"/>
      <c r="S128" s="10"/>
      <c r="T128" s="10"/>
      <c r="U128" s="10"/>
      <c r="V128" s="10"/>
      <c r="W128" s="10"/>
      <c r="X128" s="10"/>
      <c r="Y128" s="10"/>
    </row>
    <row r="129" spans="18:25" ht="15.75" customHeight="1" x14ac:dyDescent="0.3">
      <c r="R129" s="10"/>
      <c r="S129" s="10"/>
      <c r="T129" s="10"/>
      <c r="U129" s="10"/>
      <c r="V129" s="10"/>
      <c r="W129" s="10"/>
      <c r="X129" s="10"/>
      <c r="Y129" s="10"/>
    </row>
    <row r="130" spans="18:25" ht="15.75" customHeight="1" x14ac:dyDescent="0.3">
      <c r="R130" s="10"/>
      <c r="S130" s="10"/>
      <c r="T130" s="10"/>
      <c r="U130" s="10"/>
      <c r="V130" s="10"/>
      <c r="W130" s="10"/>
      <c r="X130" s="10"/>
      <c r="Y130" s="10"/>
    </row>
    <row r="131" spans="18:25" ht="15.75" customHeight="1" x14ac:dyDescent="0.3">
      <c r="R131" s="10"/>
      <c r="S131" s="10"/>
      <c r="T131" s="10"/>
      <c r="U131" s="10"/>
      <c r="V131" s="10"/>
      <c r="W131" s="10"/>
      <c r="X131" s="10"/>
      <c r="Y131" s="10"/>
    </row>
    <row r="132" spans="18:25" ht="15.75" customHeight="1" x14ac:dyDescent="0.3">
      <c r="R132" s="10"/>
      <c r="S132" s="10"/>
      <c r="T132" s="10"/>
      <c r="U132" s="10"/>
      <c r="V132" s="10"/>
      <c r="W132" s="10"/>
      <c r="X132" s="10"/>
      <c r="Y132" s="10"/>
    </row>
    <row r="133" spans="18:25" ht="15.75" customHeight="1" x14ac:dyDescent="0.3">
      <c r="R133" s="10"/>
      <c r="S133" s="10"/>
      <c r="T133" s="10"/>
      <c r="U133" s="10"/>
      <c r="V133" s="10"/>
      <c r="W133" s="10"/>
      <c r="X133" s="10"/>
      <c r="Y133" s="10"/>
    </row>
    <row r="134" spans="18:25" ht="15.75" customHeight="1" x14ac:dyDescent="0.3">
      <c r="R134" s="10"/>
      <c r="S134" s="10"/>
      <c r="T134" s="10"/>
      <c r="U134" s="10"/>
      <c r="V134" s="10"/>
      <c r="W134" s="10"/>
      <c r="X134" s="10"/>
      <c r="Y134" s="10"/>
    </row>
    <row r="135" spans="18:25" ht="15.75" customHeight="1" x14ac:dyDescent="0.3">
      <c r="R135" s="10"/>
      <c r="S135" s="10"/>
      <c r="T135" s="10"/>
      <c r="U135" s="10"/>
      <c r="V135" s="10"/>
      <c r="W135" s="10"/>
      <c r="X135" s="10"/>
      <c r="Y135" s="10"/>
    </row>
    <row r="136" spans="18:25" ht="15.75" customHeight="1" x14ac:dyDescent="0.3">
      <c r="R136" s="10"/>
      <c r="S136" s="10"/>
      <c r="T136" s="10"/>
      <c r="U136" s="10"/>
      <c r="V136" s="10"/>
      <c r="W136" s="10"/>
      <c r="X136" s="10"/>
      <c r="Y136" s="10"/>
    </row>
    <row r="137" spans="18:25" ht="15.75" customHeight="1" x14ac:dyDescent="0.3">
      <c r="R137" s="10"/>
      <c r="S137" s="10"/>
      <c r="T137" s="10"/>
      <c r="U137" s="10"/>
      <c r="V137" s="10"/>
      <c r="W137" s="10"/>
      <c r="X137" s="10"/>
      <c r="Y137" s="10"/>
    </row>
    <row r="138" spans="18:25" ht="15.75" customHeight="1" x14ac:dyDescent="0.3">
      <c r="R138" s="10"/>
      <c r="S138" s="10"/>
      <c r="T138" s="10"/>
      <c r="U138" s="10"/>
      <c r="V138" s="10"/>
      <c r="W138" s="10"/>
      <c r="X138" s="10"/>
      <c r="Y138" s="10"/>
    </row>
    <row r="139" spans="18:25" ht="15.75" customHeight="1" x14ac:dyDescent="0.3">
      <c r="R139" s="10"/>
      <c r="S139" s="10"/>
      <c r="T139" s="10"/>
      <c r="U139" s="10"/>
      <c r="V139" s="10"/>
      <c r="W139" s="10"/>
      <c r="X139" s="10"/>
      <c r="Y139" s="10"/>
    </row>
    <row r="140" spans="18:25" ht="15.75" customHeight="1" x14ac:dyDescent="0.3">
      <c r="R140" s="10"/>
      <c r="S140" s="10"/>
      <c r="T140" s="10"/>
      <c r="U140" s="10"/>
      <c r="V140" s="10"/>
      <c r="W140" s="10"/>
      <c r="X140" s="10"/>
      <c r="Y140" s="10"/>
    </row>
    <row r="141" spans="18:25" ht="15.75" customHeight="1" x14ac:dyDescent="0.3">
      <c r="R141" s="10"/>
      <c r="S141" s="10"/>
      <c r="T141" s="10"/>
      <c r="U141" s="10"/>
      <c r="V141" s="10"/>
      <c r="W141" s="10"/>
      <c r="X141" s="10"/>
      <c r="Y141" s="10"/>
    </row>
    <row r="142" spans="18:25" ht="15.75" customHeight="1" x14ac:dyDescent="0.3">
      <c r="R142" s="10"/>
      <c r="S142" s="10"/>
      <c r="T142" s="10"/>
      <c r="U142" s="10"/>
      <c r="V142" s="10"/>
      <c r="W142" s="10"/>
      <c r="X142" s="10"/>
      <c r="Y142" s="10"/>
    </row>
    <row r="143" spans="18:25" ht="15.75" customHeight="1" x14ac:dyDescent="0.3">
      <c r="R143" s="10"/>
      <c r="S143" s="10"/>
      <c r="T143" s="10"/>
      <c r="U143" s="10"/>
      <c r="V143" s="10"/>
      <c r="W143" s="10"/>
      <c r="X143" s="10"/>
      <c r="Y143" s="10"/>
    </row>
    <row r="144" spans="18:25" ht="15.75" customHeight="1" x14ac:dyDescent="0.3">
      <c r="R144" s="10"/>
      <c r="S144" s="10"/>
      <c r="T144" s="10"/>
      <c r="U144" s="10"/>
      <c r="V144" s="10"/>
      <c r="W144" s="10"/>
      <c r="X144" s="10"/>
      <c r="Y144" s="10"/>
    </row>
    <row r="145" spans="18:25" ht="15.75" customHeight="1" x14ac:dyDescent="0.3">
      <c r="R145" s="10"/>
      <c r="S145" s="10"/>
      <c r="T145" s="10"/>
      <c r="U145" s="10"/>
      <c r="V145" s="10"/>
      <c r="W145" s="10"/>
      <c r="X145" s="10"/>
      <c r="Y145" s="10"/>
    </row>
    <row r="146" spans="18:25" ht="15.75" customHeight="1" x14ac:dyDescent="0.3">
      <c r="R146" s="10"/>
      <c r="S146" s="10"/>
      <c r="T146" s="10"/>
      <c r="U146" s="10"/>
      <c r="V146" s="10"/>
      <c r="W146" s="10"/>
      <c r="X146" s="10"/>
      <c r="Y146" s="10"/>
    </row>
    <row r="147" spans="18:25" ht="15.75" customHeight="1" x14ac:dyDescent="0.3">
      <c r="R147" s="10"/>
      <c r="S147" s="10"/>
      <c r="T147" s="10"/>
      <c r="U147" s="10"/>
      <c r="V147" s="10"/>
      <c r="W147" s="10"/>
      <c r="X147" s="10"/>
      <c r="Y147" s="10"/>
    </row>
    <row r="148" spans="18:25" ht="15.75" customHeight="1" x14ac:dyDescent="0.3">
      <c r="R148" s="10"/>
      <c r="S148" s="10"/>
      <c r="T148" s="10"/>
      <c r="U148" s="10"/>
      <c r="V148" s="10"/>
      <c r="W148" s="10"/>
      <c r="X148" s="10"/>
      <c r="Y148" s="10"/>
    </row>
    <row r="149" spans="18:25" ht="15.75" customHeight="1" x14ac:dyDescent="0.3">
      <c r="R149" s="10"/>
      <c r="S149" s="10"/>
      <c r="T149" s="10"/>
      <c r="U149" s="10"/>
      <c r="V149" s="10"/>
      <c r="W149" s="10"/>
      <c r="X149" s="10"/>
      <c r="Y149" s="10"/>
    </row>
    <row r="150" spans="18:25" ht="15.75" customHeight="1" x14ac:dyDescent="0.3">
      <c r="R150" s="10"/>
      <c r="S150" s="10"/>
      <c r="T150" s="10"/>
      <c r="U150" s="10"/>
      <c r="V150" s="10"/>
      <c r="W150" s="10"/>
      <c r="X150" s="10"/>
      <c r="Y150" s="10"/>
    </row>
    <row r="151" spans="18:25" ht="15.75" customHeight="1" x14ac:dyDescent="0.3">
      <c r="R151" s="10"/>
      <c r="S151" s="10"/>
      <c r="T151" s="10"/>
      <c r="U151" s="10"/>
      <c r="V151" s="10"/>
      <c r="W151" s="10"/>
      <c r="X151" s="10"/>
      <c r="Y151" s="10"/>
    </row>
    <row r="152" spans="18:25" ht="15.75" customHeight="1" x14ac:dyDescent="0.3">
      <c r="R152" s="10"/>
      <c r="S152" s="10"/>
      <c r="T152" s="10"/>
      <c r="U152" s="10"/>
      <c r="V152" s="10"/>
      <c r="W152" s="10"/>
      <c r="X152" s="10"/>
      <c r="Y152" s="10"/>
    </row>
    <row r="153" spans="18:25" ht="15.75" customHeight="1" x14ac:dyDescent="0.3">
      <c r="R153" s="10"/>
      <c r="S153" s="10"/>
      <c r="T153" s="10"/>
      <c r="U153" s="10"/>
      <c r="V153" s="10"/>
      <c r="W153" s="10"/>
      <c r="X153" s="10"/>
      <c r="Y153" s="10"/>
    </row>
    <row r="154" spans="18:25" ht="15.75" customHeight="1" x14ac:dyDescent="0.3">
      <c r="R154" s="10"/>
      <c r="S154" s="10"/>
      <c r="T154" s="10"/>
      <c r="U154" s="10"/>
      <c r="V154" s="10"/>
      <c r="W154" s="10"/>
      <c r="X154" s="10"/>
      <c r="Y154" s="10"/>
    </row>
    <row r="155" spans="18:25" ht="15.75" customHeight="1" x14ac:dyDescent="0.3">
      <c r="R155" s="10"/>
      <c r="S155" s="10"/>
      <c r="T155" s="10"/>
      <c r="U155" s="10"/>
      <c r="V155" s="10"/>
      <c r="W155" s="10"/>
      <c r="X155" s="10"/>
      <c r="Y155" s="10"/>
    </row>
    <row r="156" spans="18:25" ht="15.75" customHeight="1" x14ac:dyDescent="0.3">
      <c r="R156" s="10"/>
      <c r="S156" s="10"/>
      <c r="T156" s="10"/>
      <c r="U156" s="10"/>
      <c r="V156" s="10"/>
      <c r="W156" s="10"/>
      <c r="X156" s="10"/>
      <c r="Y156" s="10"/>
    </row>
    <row r="157" spans="18:25" ht="15.75" customHeight="1" x14ac:dyDescent="0.3">
      <c r="R157" s="10"/>
      <c r="S157" s="10"/>
      <c r="T157" s="10"/>
      <c r="U157" s="10"/>
      <c r="V157" s="10"/>
      <c r="W157" s="10"/>
      <c r="X157" s="10"/>
      <c r="Y157" s="10"/>
    </row>
    <row r="158" spans="18:25" ht="15.75" customHeight="1" x14ac:dyDescent="0.3">
      <c r="R158" s="10"/>
      <c r="S158" s="10"/>
      <c r="T158" s="10"/>
      <c r="U158" s="10"/>
      <c r="V158" s="10"/>
      <c r="W158" s="10"/>
      <c r="X158" s="10"/>
      <c r="Y158" s="10"/>
    </row>
    <row r="159" spans="18:25" ht="15.75" customHeight="1" x14ac:dyDescent="0.3">
      <c r="R159" s="10"/>
      <c r="S159" s="10"/>
      <c r="T159" s="10"/>
      <c r="U159" s="10"/>
      <c r="V159" s="10"/>
      <c r="W159" s="10"/>
      <c r="X159" s="10"/>
      <c r="Y159" s="10"/>
    </row>
    <row r="160" spans="18:25" ht="15.75" customHeight="1" x14ac:dyDescent="0.3">
      <c r="R160" s="10"/>
      <c r="S160" s="10"/>
      <c r="T160" s="10"/>
      <c r="U160" s="10"/>
      <c r="V160" s="10"/>
      <c r="W160" s="10"/>
      <c r="X160" s="10"/>
      <c r="Y160" s="10"/>
    </row>
    <row r="161" spans="18:25" ht="15.75" customHeight="1" x14ac:dyDescent="0.3">
      <c r="R161" s="10"/>
      <c r="S161" s="10"/>
      <c r="T161" s="10"/>
      <c r="U161" s="10"/>
      <c r="V161" s="10"/>
      <c r="W161" s="10"/>
      <c r="X161" s="10"/>
      <c r="Y161" s="10"/>
    </row>
    <row r="162" spans="18:25" ht="15.75" customHeight="1" x14ac:dyDescent="0.3">
      <c r="R162" s="10"/>
      <c r="S162" s="10"/>
      <c r="T162" s="10"/>
      <c r="U162" s="10"/>
      <c r="V162" s="10"/>
      <c r="W162" s="10"/>
      <c r="X162" s="10"/>
      <c r="Y162" s="10"/>
    </row>
    <row r="163" spans="18:25" ht="15.75" customHeight="1" x14ac:dyDescent="0.3">
      <c r="R163" s="10"/>
      <c r="S163" s="10"/>
      <c r="T163" s="10"/>
      <c r="U163" s="10"/>
      <c r="V163" s="10"/>
      <c r="W163" s="10"/>
      <c r="X163" s="10"/>
      <c r="Y163" s="10"/>
    </row>
    <row r="164" spans="18:25" ht="15.75" customHeight="1" x14ac:dyDescent="0.3">
      <c r="R164" s="10"/>
      <c r="S164" s="10"/>
      <c r="T164" s="10"/>
      <c r="U164" s="10"/>
      <c r="V164" s="10"/>
      <c r="W164" s="10"/>
      <c r="X164" s="10"/>
      <c r="Y164" s="10"/>
    </row>
    <row r="165" spans="18:25" ht="15.75" customHeight="1" x14ac:dyDescent="0.3">
      <c r="R165" s="10"/>
      <c r="S165" s="10"/>
      <c r="T165" s="10"/>
      <c r="U165" s="10"/>
      <c r="V165" s="10"/>
      <c r="W165" s="10"/>
      <c r="X165" s="10"/>
      <c r="Y165" s="10"/>
    </row>
    <row r="166" spans="18:25" ht="15.75" customHeight="1" x14ac:dyDescent="0.3">
      <c r="R166" s="10"/>
      <c r="S166" s="10"/>
      <c r="T166" s="10"/>
      <c r="U166" s="10"/>
      <c r="V166" s="10"/>
      <c r="W166" s="10"/>
      <c r="X166" s="10"/>
      <c r="Y166" s="10"/>
    </row>
    <row r="167" spans="18:25" ht="15.75" customHeight="1" x14ac:dyDescent="0.3">
      <c r="R167" s="10"/>
      <c r="S167" s="10"/>
      <c r="T167" s="10"/>
      <c r="U167" s="10"/>
      <c r="V167" s="10"/>
      <c r="W167" s="10"/>
      <c r="X167" s="10"/>
      <c r="Y167" s="10"/>
    </row>
    <row r="168" spans="18:25" ht="15.75" customHeight="1" x14ac:dyDescent="0.3">
      <c r="R168" s="10"/>
      <c r="S168" s="10"/>
      <c r="T168" s="10"/>
      <c r="U168" s="10"/>
      <c r="V168" s="10"/>
      <c r="W168" s="10"/>
      <c r="X168" s="10"/>
      <c r="Y168" s="10"/>
    </row>
    <row r="169" spans="18:25" ht="15.75" customHeight="1" x14ac:dyDescent="0.3">
      <c r="R169" s="10"/>
      <c r="S169" s="10"/>
      <c r="T169" s="10"/>
      <c r="U169" s="10"/>
      <c r="V169" s="10"/>
      <c r="W169" s="10"/>
      <c r="X169" s="10"/>
      <c r="Y169" s="10"/>
    </row>
    <row r="170" spans="18:25" ht="15.75" customHeight="1" x14ac:dyDescent="0.3">
      <c r="R170" s="10"/>
      <c r="S170" s="10"/>
      <c r="T170" s="10"/>
      <c r="U170" s="10"/>
      <c r="V170" s="10"/>
      <c r="W170" s="10"/>
      <c r="X170" s="10"/>
      <c r="Y170" s="10"/>
    </row>
    <row r="171" spans="18:25" ht="15.75" customHeight="1" x14ac:dyDescent="0.3">
      <c r="R171" s="10"/>
      <c r="S171" s="10"/>
      <c r="T171" s="10"/>
      <c r="U171" s="10"/>
      <c r="V171" s="10"/>
      <c r="W171" s="10"/>
      <c r="X171" s="10"/>
      <c r="Y171" s="10"/>
    </row>
    <row r="172" spans="18:25" ht="15.75" customHeight="1" x14ac:dyDescent="0.3">
      <c r="R172" s="10"/>
      <c r="S172" s="10"/>
      <c r="T172" s="10"/>
      <c r="U172" s="10"/>
      <c r="V172" s="10"/>
      <c r="W172" s="10"/>
      <c r="X172" s="10"/>
      <c r="Y172" s="10"/>
    </row>
    <row r="173" spans="18:25" ht="15.75" customHeight="1" x14ac:dyDescent="0.3">
      <c r="R173" s="10"/>
      <c r="S173" s="10"/>
      <c r="T173" s="10"/>
      <c r="U173" s="10"/>
      <c r="V173" s="10"/>
      <c r="W173" s="10"/>
      <c r="X173" s="10"/>
      <c r="Y173" s="10"/>
    </row>
    <row r="174" spans="18:25" ht="15.75" customHeight="1" x14ac:dyDescent="0.3">
      <c r="R174" s="10"/>
      <c r="S174" s="10"/>
      <c r="T174" s="10"/>
      <c r="U174" s="10"/>
      <c r="V174" s="10"/>
      <c r="W174" s="10"/>
      <c r="X174" s="10"/>
      <c r="Y174" s="10"/>
    </row>
    <row r="175" spans="18:25" ht="15.75" customHeight="1" x14ac:dyDescent="0.3">
      <c r="R175" s="10"/>
      <c r="S175" s="10"/>
      <c r="T175" s="10"/>
      <c r="U175" s="10"/>
      <c r="V175" s="10"/>
      <c r="W175" s="10"/>
      <c r="X175" s="10"/>
      <c r="Y175" s="10"/>
    </row>
    <row r="176" spans="18:25" ht="15.75" customHeight="1" x14ac:dyDescent="0.3">
      <c r="R176" s="10"/>
      <c r="S176" s="10"/>
      <c r="T176" s="10"/>
      <c r="U176" s="10"/>
      <c r="V176" s="10"/>
      <c r="W176" s="10"/>
      <c r="X176" s="10"/>
      <c r="Y176" s="10"/>
    </row>
    <row r="177" spans="18:25" ht="15.75" customHeight="1" x14ac:dyDescent="0.3">
      <c r="R177" s="10"/>
      <c r="S177" s="10"/>
      <c r="T177" s="10"/>
      <c r="U177" s="10"/>
      <c r="V177" s="10"/>
      <c r="W177" s="10"/>
      <c r="X177" s="10"/>
      <c r="Y177" s="10"/>
    </row>
    <row r="178" spans="18:25" ht="15.75" customHeight="1" x14ac:dyDescent="0.3">
      <c r="R178" s="10"/>
      <c r="S178" s="10"/>
      <c r="T178" s="10"/>
      <c r="U178" s="10"/>
      <c r="V178" s="10"/>
      <c r="W178" s="10"/>
      <c r="X178" s="10"/>
      <c r="Y178" s="10"/>
    </row>
    <row r="179" spans="18:25" ht="15.75" customHeight="1" x14ac:dyDescent="0.3">
      <c r="R179" s="10"/>
      <c r="S179" s="10"/>
      <c r="T179" s="10"/>
      <c r="U179" s="10"/>
      <c r="V179" s="10"/>
      <c r="W179" s="10"/>
      <c r="X179" s="10"/>
      <c r="Y179" s="10"/>
    </row>
    <row r="180" spans="18:25" ht="15.75" customHeight="1" x14ac:dyDescent="0.3">
      <c r="R180" s="10"/>
      <c r="S180" s="10"/>
      <c r="T180" s="10"/>
      <c r="U180" s="10"/>
      <c r="V180" s="10"/>
      <c r="W180" s="10"/>
      <c r="X180" s="10"/>
      <c r="Y180" s="10"/>
    </row>
    <row r="181" spans="18:25" ht="15.75" customHeight="1" x14ac:dyDescent="0.3">
      <c r="R181" s="10"/>
      <c r="S181" s="10"/>
      <c r="T181" s="10"/>
      <c r="U181" s="10"/>
      <c r="V181" s="10"/>
      <c r="W181" s="10"/>
      <c r="X181" s="10"/>
      <c r="Y181" s="10"/>
    </row>
    <row r="182" spans="18:25" ht="15.75" customHeight="1" x14ac:dyDescent="0.3">
      <c r="R182" s="10"/>
      <c r="S182" s="10"/>
      <c r="T182" s="10"/>
      <c r="U182" s="10"/>
      <c r="V182" s="10"/>
      <c r="W182" s="10"/>
      <c r="X182" s="10"/>
      <c r="Y182" s="10"/>
    </row>
    <row r="183" spans="18:25" ht="15.75" customHeight="1" x14ac:dyDescent="0.3">
      <c r="R183" s="10"/>
      <c r="S183" s="10"/>
      <c r="T183" s="10"/>
      <c r="U183" s="10"/>
      <c r="V183" s="10"/>
      <c r="W183" s="10"/>
      <c r="X183" s="10"/>
      <c r="Y183" s="10"/>
    </row>
    <row r="184" spans="18:25" ht="15.75" customHeight="1" x14ac:dyDescent="0.3">
      <c r="R184" s="10"/>
      <c r="S184" s="10"/>
      <c r="T184" s="10"/>
      <c r="U184" s="10"/>
      <c r="V184" s="10"/>
      <c r="W184" s="10"/>
      <c r="X184" s="10"/>
      <c r="Y184" s="10"/>
    </row>
    <row r="185" spans="18:25" ht="15.75" customHeight="1" x14ac:dyDescent="0.3">
      <c r="R185" s="10"/>
      <c r="S185" s="10"/>
      <c r="T185" s="10"/>
      <c r="U185" s="10"/>
      <c r="V185" s="10"/>
      <c r="W185" s="10"/>
      <c r="X185" s="10"/>
      <c r="Y185" s="10"/>
    </row>
    <row r="186" spans="18:25" ht="15.75" customHeight="1" x14ac:dyDescent="0.3">
      <c r="R186" s="10"/>
      <c r="S186" s="10"/>
      <c r="T186" s="10"/>
      <c r="U186" s="10"/>
      <c r="V186" s="10"/>
      <c r="W186" s="10"/>
      <c r="X186" s="10"/>
      <c r="Y186" s="10"/>
    </row>
    <row r="187" spans="18:25" ht="15.75" customHeight="1" x14ac:dyDescent="0.3">
      <c r="R187" s="10"/>
      <c r="S187" s="10"/>
      <c r="T187" s="10"/>
      <c r="U187" s="10"/>
      <c r="V187" s="10"/>
      <c r="W187" s="10"/>
      <c r="X187" s="10"/>
      <c r="Y187" s="10"/>
    </row>
    <row r="188" spans="18:25" ht="15.75" customHeight="1" x14ac:dyDescent="0.3">
      <c r="R188" s="10"/>
      <c r="S188" s="10"/>
      <c r="T188" s="10"/>
      <c r="U188" s="10"/>
      <c r="V188" s="10"/>
      <c r="W188" s="10"/>
      <c r="X188" s="10"/>
      <c r="Y188" s="10"/>
    </row>
    <row r="189" spans="18:25" ht="15.75" customHeight="1" x14ac:dyDescent="0.3">
      <c r="R189" s="10"/>
      <c r="S189" s="10"/>
      <c r="T189" s="10"/>
      <c r="U189" s="10"/>
      <c r="V189" s="10"/>
      <c r="W189" s="10"/>
      <c r="X189" s="10"/>
      <c r="Y189" s="10"/>
    </row>
    <row r="190" spans="18:25" ht="15.75" customHeight="1" x14ac:dyDescent="0.3">
      <c r="R190" s="10"/>
      <c r="S190" s="10"/>
      <c r="T190" s="10"/>
      <c r="U190" s="10"/>
      <c r="V190" s="10"/>
      <c r="W190" s="10"/>
      <c r="X190" s="10"/>
      <c r="Y190" s="10"/>
    </row>
    <row r="191" spans="18:25" ht="15.75" customHeight="1" x14ac:dyDescent="0.3">
      <c r="R191" s="10"/>
      <c r="S191" s="10"/>
      <c r="T191" s="10"/>
      <c r="U191" s="10"/>
      <c r="V191" s="10"/>
      <c r="W191" s="10"/>
      <c r="X191" s="10"/>
      <c r="Y191" s="10"/>
    </row>
    <row r="192" spans="18:25" ht="15.75" customHeight="1" x14ac:dyDescent="0.3">
      <c r="R192" s="10"/>
      <c r="S192" s="10"/>
      <c r="T192" s="10"/>
      <c r="U192" s="10"/>
      <c r="V192" s="10"/>
      <c r="W192" s="10"/>
      <c r="X192" s="10"/>
      <c r="Y192" s="10"/>
    </row>
    <row r="193" spans="18:25" ht="15.75" customHeight="1" x14ac:dyDescent="0.3">
      <c r="R193" s="10"/>
      <c r="S193" s="10"/>
      <c r="T193" s="10"/>
      <c r="U193" s="10"/>
      <c r="V193" s="10"/>
      <c r="W193" s="10"/>
      <c r="X193" s="10"/>
      <c r="Y193" s="10"/>
    </row>
    <row r="194" spans="18:25" ht="15.75" customHeight="1" x14ac:dyDescent="0.3">
      <c r="R194" s="10"/>
      <c r="S194" s="10"/>
      <c r="T194" s="10"/>
      <c r="U194" s="10"/>
      <c r="V194" s="10"/>
      <c r="W194" s="10"/>
      <c r="X194" s="10"/>
      <c r="Y194" s="10"/>
    </row>
    <row r="195" spans="18:25" ht="15.75" customHeight="1" x14ac:dyDescent="0.3">
      <c r="R195" s="10"/>
      <c r="S195" s="10"/>
      <c r="T195" s="10"/>
      <c r="U195" s="10"/>
      <c r="V195" s="10"/>
      <c r="W195" s="10"/>
      <c r="X195" s="10"/>
      <c r="Y195" s="10"/>
    </row>
    <row r="196" spans="18:25" ht="15.75" customHeight="1" x14ac:dyDescent="0.3">
      <c r="R196" s="10"/>
      <c r="S196" s="10"/>
      <c r="T196" s="10"/>
      <c r="U196" s="10"/>
      <c r="V196" s="10"/>
      <c r="W196" s="10"/>
      <c r="X196" s="10"/>
      <c r="Y196" s="10"/>
    </row>
    <row r="197" spans="18:25" ht="15.75" customHeight="1" x14ac:dyDescent="0.3">
      <c r="R197" s="10"/>
      <c r="S197" s="10"/>
      <c r="T197" s="10"/>
      <c r="U197" s="10"/>
      <c r="V197" s="10"/>
      <c r="W197" s="10"/>
      <c r="X197" s="10"/>
      <c r="Y197" s="10"/>
    </row>
    <row r="198" spans="18:25" ht="15.75" customHeight="1" x14ac:dyDescent="0.3">
      <c r="R198" s="10"/>
      <c r="S198" s="10"/>
      <c r="T198" s="10"/>
      <c r="U198" s="10"/>
      <c r="V198" s="10"/>
      <c r="W198" s="10"/>
      <c r="X198" s="10"/>
      <c r="Y198" s="10"/>
    </row>
    <row r="199" spans="18:25" ht="15.75" customHeight="1" x14ac:dyDescent="0.3">
      <c r="R199" s="10"/>
      <c r="S199" s="10"/>
      <c r="T199" s="10"/>
      <c r="U199" s="10"/>
      <c r="V199" s="10"/>
      <c r="W199" s="10"/>
      <c r="X199" s="10"/>
      <c r="Y199" s="10"/>
    </row>
    <row r="200" spans="18:25" ht="15.75" customHeight="1" x14ac:dyDescent="0.3">
      <c r="R200" s="10"/>
      <c r="S200" s="10"/>
      <c r="T200" s="10"/>
      <c r="U200" s="10"/>
      <c r="V200" s="10"/>
      <c r="W200" s="10"/>
      <c r="X200" s="10"/>
      <c r="Y200" s="10"/>
    </row>
    <row r="201" spans="18:25" ht="15.75" customHeight="1" x14ac:dyDescent="0.3">
      <c r="R201" s="10"/>
      <c r="S201" s="10"/>
      <c r="T201" s="10"/>
      <c r="U201" s="10"/>
      <c r="V201" s="10"/>
      <c r="W201" s="10"/>
      <c r="X201" s="10"/>
      <c r="Y201" s="10"/>
    </row>
    <row r="202" spans="18:25" ht="15.75" customHeight="1" x14ac:dyDescent="0.3">
      <c r="R202" s="10"/>
      <c r="S202" s="10"/>
      <c r="T202" s="10"/>
      <c r="U202" s="10"/>
      <c r="V202" s="10"/>
      <c r="W202" s="10"/>
      <c r="X202" s="10"/>
      <c r="Y202" s="10"/>
    </row>
    <row r="203" spans="18:25" ht="15.75" customHeight="1" x14ac:dyDescent="0.3">
      <c r="R203" s="10"/>
      <c r="S203" s="10"/>
      <c r="T203" s="10"/>
      <c r="U203" s="10"/>
      <c r="V203" s="10"/>
      <c r="W203" s="10"/>
      <c r="X203" s="10"/>
      <c r="Y203" s="10"/>
    </row>
    <row r="204" spans="18:25" ht="15.75" customHeight="1" x14ac:dyDescent="0.3">
      <c r="R204" s="10"/>
      <c r="S204" s="10"/>
      <c r="T204" s="10"/>
      <c r="U204" s="10"/>
      <c r="V204" s="10"/>
      <c r="W204" s="10"/>
      <c r="X204" s="10"/>
      <c r="Y204" s="10"/>
    </row>
    <row r="205" spans="18:25" ht="15.75" customHeight="1" x14ac:dyDescent="0.3">
      <c r="R205" s="10"/>
      <c r="S205" s="10"/>
      <c r="T205" s="10"/>
      <c r="U205" s="10"/>
      <c r="V205" s="10"/>
      <c r="W205" s="10"/>
      <c r="X205" s="10"/>
      <c r="Y205" s="10"/>
    </row>
    <row r="206" spans="18:25" ht="15.75" customHeight="1" x14ac:dyDescent="0.3">
      <c r="R206" s="10"/>
      <c r="S206" s="10"/>
      <c r="T206" s="10"/>
      <c r="U206" s="10"/>
      <c r="V206" s="10"/>
      <c r="W206" s="10"/>
      <c r="X206" s="10"/>
      <c r="Y206" s="10"/>
    </row>
    <row r="207" spans="18:25" ht="15.75" customHeight="1" x14ac:dyDescent="0.3">
      <c r="R207" s="10"/>
      <c r="S207" s="10"/>
      <c r="T207" s="10"/>
      <c r="U207" s="10"/>
      <c r="V207" s="10"/>
      <c r="W207" s="10"/>
      <c r="X207" s="10"/>
      <c r="Y207" s="10"/>
    </row>
    <row r="208" spans="18:25" ht="15.75" customHeight="1" x14ac:dyDescent="0.3">
      <c r="R208" s="10"/>
      <c r="S208" s="10"/>
      <c r="T208" s="10"/>
      <c r="U208" s="10"/>
      <c r="V208" s="10"/>
      <c r="W208" s="10"/>
      <c r="X208" s="10"/>
      <c r="Y208" s="10"/>
    </row>
    <row r="209" spans="18:25" ht="15.75" customHeight="1" x14ac:dyDescent="0.3">
      <c r="R209" s="10"/>
      <c r="S209" s="10"/>
      <c r="T209" s="10"/>
      <c r="U209" s="10"/>
      <c r="V209" s="10"/>
      <c r="W209" s="10"/>
      <c r="X209" s="10"/>
      <c r="Y209" s="10"/>
    </row>
    <row r="210" spans="18:25" ht="15.75" customHeight="1" x14ac:dyDescent="0.3">
      <c r="R210" s="10"/>
      <c r="S210" s="10"/>
      <c r="T210" s="10"/>
      <c r="U210" s="10"/>
      <c r="V210" s="10"/>
      <c r="W210" s="10"/>
      <c r="X210" s="10"/>
      <c r="Y210" s="10"/>
    </row>
    <row r="211" spans="18:25" ht="15.75" customHeight="1" x14ac:dyDescent="0.3">
      <c r="R211" s="10"/>
      <c r="S211" s="10"/>
      <c r="T211" s="10"/>
      <c r="U211" s="10"/>
      <c r="V211" s="10"/>
      <c r="W211" s="10"/>
      <c r="X211" s="10"/>
      <c r="Y211" s="10"/>
    </row>
    <row r="212" spans="18:25" ht="15.75" customHeight="1" x14ac:dyDescent="0.3">
      <c r="R212" s="10"/>
      <c r="S212" s="10"/>
      <c r="T212" s="10"/>
      <c r="U212" s="10"/>
      <c r="V212" s="10"/>
      <c r="W212" s="10"/>
      <c r="X212" s="10"/>
      <c r="Y212" s="10"/>
    </row>
    <row r="213" spans="18:25" ht="15.75" customHeight="1" x14ac:dyDescent="0.3">
      <c r="R213" s="10"/>
      <c r="S213" s="10"/>
      <c r="T213" s="10"/>
      <c r="U213" s="10"/>
      <c r="V213" s="10"/>
      <c r="W213" s="10"/>
      <c r="X213" s="10"/>
      <c r="Y213" s="10"/>
    </row>
    <row r="214" spans="18:25" ht="15.75" customHeight="1" x14ac:dyDescent="0.3">
      <c r="R214" s="10"/>
      <c r="S214" s="10"/>
      <c r="T214" s="10"/>
      <c r="U214" s="10"/>
      <c r="V214" s="10"/>
      <c r="W214" s="10"/>
      <c r="X214" s="10"/>
      <c r="Y214" s="10"/>
    </row>
    <row r="215" spans="18:25" ht="15.75" customHeight="1" x14ac:dyDescent="0.3">
      <c r="R215" s="10"/>
      <c r="S215" s="10"/>
      <c r="T215" s="10"/>
      <c r="U215" s="10"/>
      <c r="V215" s="10"/>
      <c r="W215" s="10"/>
      <c r="X215" s="10"/>
      <c r="Y215" s="10"/>
    </row>
    <row r="216" spans="18:25" ht="15.75" customHeight="1" x14ac:dyDescent="0.3">
      <c r="R216" s="10"/>
      <c r="S216" s="10"/>
      <c r="T216" s="10"/>
      <c r="U216" s="10"/>
      <c r="V216" s="10"/>
      <c r="W216" s="10"/>
      <c r="X216" s="10"/>
      <c r="Y216" s="10"/>
    </row>
    <row r="217" spans="18:25" ht="15.75" customHeight="1" x14ac:dyDescent="0.3">
      <c r="R217" s="10"/>
      <c r="S217" s="10"/>
      <c r="T217" s="10"/>
      <c r="U217" s="10"/>
      <c r="V217" s="10"/>
      <c r="W217" s="10"/>
      <c r="X217" s="10"/>
      <c r="Y217" s="10"/>
    </row>
    <row r="218" spans="18:25" ht="15.75" customHeight="1" x14ac:dyDescent="0.3">
      <c r="R218" s="10"/>
      <c r="S218" s="10"/>
      <c r="T218" s="10"/>
      <c r="U218" s="10"/>
      <c r="V218" s="10"/>
      <c r="W218" s="10"/>
      <c r="X218" s="10"/>
      <c r="Y218" s="10"/>
    </row>
    <row r="219" spans="18:25" ht="15.75" customHeight="1" x14ac:dyDescent="0.3">
      <c r="R219" s="10"/>
      <c r="S219" s="10"/>
      <c r="T219" s="10"/>
      <c r="U219" s="10"/>
      <c r="V219" s="10"/>
      <c r="W219" s="10"/>
      <c r="X219" s="10"/>
      <c r="Y219" s="10"/>
    </row>
    <row r="220" spans="18:25" ht="15.75" customHeight="1" x14ac:dyDescent="0.3">
      <c r="R220" s="10"/>
      <c r="S220" s="10"/>
      <c r="T220" s="10"/>
      <c r="U220" s="10"/>
      <c r="V220" s="10"/>
      <c r="W220" s="10"/>
      <c r="X220" s="10"/>
      <c r="Y220" s="10"/>
    </row>
    <row r="221" spans="18:25" ht="15.75" customHeight="1" x14ac:dyDescent="0.3">
      <c r="R221" s="10"/>
      <c r="S221" s="10"/>
      <c r="T221" s="10"/>
      <c r="U221" s="10"/>
      <c r="V221" s="10"/>
      <c r="W221" s="10"/>
      <c r="X221" s="10"/>
      <c r="Y221" s="10"/>
    </row>
    <row r="222" spans="18:25" ht="15.75" customHeight="1" x14ac:dyDescent="0.3">
      <c r="R222" s="10"/>
      <c r="S222" s="10"/>
      <c r="T222" s="10"/>
      <c r="U222" s="10"/>
      <c r="V222" s="10"/>
      <c r="W222" s="10"/>
      <c r="X222" s="10"/>
      <c r="Y222" s="10"/>
    </row>
    <row r="223" spans="18:25" ht="15.75" customHeight="1" x14ac:dyDescent="0.3">
      <c r="R223" s="10"/>
      <c r="S223" s="10"/>
      <c r="T223" s="10"/>
      <c r="U223" s="10"/>
      <c r="V223" s="10"/>
      <c r="W223" s="10"/>
      <c r="X223" s="10"/>
      <c r="Y223" s="10"/>
    </row>
    <row r="224" spans="18:25" ht="15.75" customHeight="1" x14ac:dyDescent="0.3">
      <c r="R224" s="10"/>
      <c r="S224" s="10"/>
      <c r="T224" s="10"/>
      <c r="U224" s="10"/>
      <c r="V224" s="10"/>
      <c r="W224" s="10"/>
      <c r="X224" s="10"/>
      <c r="Y224" s="10"/>
    </row>
    <row r="225" spans="18:25" ht="15.75" customHeight="1" x14ac:dyDescent="0.3">
      <c r="R225" s="10"/>
      <c r="S225" s="10"/>
      <c r="T225" s="10"/>
      <c r="U225" s="10"/>
      <c r="V225" s="10"/>
      <c r="W225" s="10"/>
      <c r="X225" s="10"/>
      <c r="Y225" s="10"/>
    </row>
    <row r="226" spans="18:25" ht="15.75" customHeight="1" x14ac:dyDescent="0.3">
      <c r="R226" s="10"/>
      <c r="S226" s="10"/>
      <c r="T226" s="10"/>
      <c r="U226" s="10"/>
      <c r="V226" s="10"/>
      <c r="W226" s="10"/>
      <c r="X226" s="10"/>
      <c r="Y226" s="10"/>
    </row>
    <row r="227" spans="18:25" ht="15.75" customHeight="1" x14ac:dyDescent="0.3">
      <c r="R227" s="10"/>
      <c r="S227" s="10"/>
      <c r="T227" s="10"/>
      <c r="U227" s="10"/>
      <c r="V227" s="10"/>
      <c r="W227" s="10"/>
      <c r="X227" s="10"/>
      <c r="Y227" s="10"/>
    </row>
    <row r="228" spans="18:25" ht="15.75" customHeight="1" x14ac:dyDescent="0.3">
      <c r="R228" s="10"/>
      <c r="S228" s="10"/>
      <c r="T228" s="10"/>
      <c r="U228" s="10"/>
      <c r="V228" s="10"/>
      <c r="W228" s="10"/>
      <c r="X228" s="10"/>
      <c r="Y228" s="10"/>
    </row>
    <row r="229" spans="18:25" ht="15.75" customHeight="1" x14ac:dyDescent="0.3">
      <c r="R229" s="10"/>
      <c r="S229" s="10"/>
      <c r="T229" s="10"/>
      <c r="U229" s="10"/>
      <c r="V229" s="10"/>
      <c r="W229" s="10"/>
      <c r="X229" s="10"/>
      <c r="Y229" s="10"/>
    </row>
    <row r="230" spans="18:25" ht="15.75" customHeight="1" x14ac:dyDescent="0.3">
      <c r="R230" s="10"/>
      <c r="S230" s="10"/>
      <c r="T230" s="10"/>
      <c r="U230" s="10"/>
      <c r="V230" s="10"/>
      <c r="W230" s="10"/>
      <c r="X230" s="10"/>
      <c r="Y230" s="10"/>
    </row>
    <row r="231" spans="18:25" ht="15.75" customHeight="1" x14ac:dyDescent="0.3">
      <c r="R231" s="10"/>
      <c r="S231" s="10"/>
      <c r="T231" s="10"/>
      <c r="U231" s="10"/>
      <c r="V231" s="10"/>
      <c r="W231" s="10"/>
      <c r="X231" s="10"/>
      <c r="Y231" s="10"/>
    </row>
    <row r="232" spans="18:25" ht="15.75" customHeight="1" x14ac:dyDescent="0.3">
      <c r="R232" s="10"/>
      <c r="S232" s="10"/>
      <c r="T232" s="10"/>
      <c r="U232" s="10"/>
      <c r="V232" s="10"/>
      <c r="W232" s="10"/>
      <c r="X232" s="10"/>
      <c r="Y232" s="10"/>
    </row>
    <row r="233" spans="18:25" ht="15.75" customHeight="1" x14ac:dyDescent="0.3">
      <c r="R233" s="10"/>
      <c r="S233" s="10"/>
      <c r="T233" s="10"/>
      <c r="U233" s="10"/>
      <c r="V233" s="10"/>
      <c r="W233" s="10"/>
      <c r="X233" s="10"/>
      <c r="Y233" s="10"/>
    </row>
    <row r="234" spans="18:25" ht="15.75" customHeight="1" x14ac:dyDescent="0.3">
      <c r="R234" s="10"/>
      <c r="S234" s="10"/>
      <c r="T234" s="10"/>
      <c r="U234" s="10"/>
      <c r="V234" s="10"/>
      <c r="W234" s="10"/>
      <c r="X234" s="10"/>
      <c r="Y234" s="10"/>
    </row>
    <row r="235" spans="18:25" ht="15.75" customHeight="1" x14ac:dyDescent="0.3">
      <c r="R235" s="10"/>
      <c r="S235" s="10"/>
      <c r="T235" s="10"/>
      <c r="U235" s="10"/>
      <c r="V235" s="10"/>
      <c r="W235" s="10"/>
      <c r="X235" s="10"/>
      <c r="Y235" s="10"/>
    </row>
    <row r="236" spans="18:25" ht="15.75" customHeight="1" x14ac:dyDescent="0.3">
      <c r="R236" s="10"/>
      <c r="S236" s="10"/>
      <c r="T236" s="10"/>
      <c r="U236" s="10"/>
      <c r="V236" s="10"/>
      <c r="W236" s="10"/>
      <c r="X236" s="10"/>
      <c r="Y236" s="10"/>
    </row>
    <row r="237" spans="18:25" ht="15.75" customHeight="1" x14ac:dyDescent="0.3">
      <c r="R237" s="10"/>
      <c r="S237" s="10"/>
      <c r="T237" s="10"/>
      <c r="U237" s="10"/>
      <c r="V237" s="10"/>
      <c r="W237" s="10"/>
      <c r="X237" s="10"/>
      <c r="Y237" s="10"/>
    </row>
    <row r="238" spans="18:25" ht="15.75" customHeight="1" x14ac:dyDescent="0.3">
      <c r="R238" s="10"/>
      <c r="S238" s="10"/>
      <c r="T238" s="10"/>
      <c r="U238" s="10"/>
      <c r="V238" s="10"/>
      <c r="W238" s="10"/>
      <c r="X238" s="10"/>
      <c r="Y238" s="10"/>
    </row>
    <row r="239" spans="18:25" ht="15.75" customHeight="1" x14ac:dyDescent="0.3">
      <c r="R239" s="10"/>
      <c r="S239" s="10"/>
      <c r="T239" s="10"/>
      <c r="U239" s="10"/>
      <c r="V239" s="10"/>
      <c r="W239" s="10"/>
      <c r="X239" s="10"/>
      <c r="Y239" s="10"/>
    </row>
    <row r="240" spans="18:25" ht="15.75" customHeight="1" x14ac:dyDescent="0.3">
      <c r="R240" s="10"/>
      <c r="S240" s="10"/>
      <c r="T240" s="10"/>
      <c r="U240" s="10"/>
      <c r="V240" s="10"/>
      <c r="W240" s="10"/>
      <c r="X240" s="10"/>
      <c r="Y240" s="10"/>
    </row>
    <row r="241" spans="18:25" ht="15.75" customHeight="1" x14ac:dyDescent="0.3">
      <c r="R241" s="10"/>
      <c r="S241" s="10"/>
      <c r="T241" s="10"/>
      <c r="U241" s="10"/>
      <c r="V241" s="10"/>
      <c r="W241" s="10"/>
      <c r="X241" s="10"/>
      <c r="Y241" s="10"/>
    </row>
    <row r="242" spans="18:25" ht="15.75" customHeight="1" x14ac:dyDescent="0.3">
      <c r="R242" s="10"/>
      <c r="S242" s="10"/>
      <c r="T242" s="10"/>
      <c r="U242" s="10"/>
      <c r="V242" s="10"/>
      <c r="W242" s="10"/>
      <c r="X242" s="10"/>
      <c r="Y242" s="10"/>
    </row>
    <row r="243" spans="18:25" ht="15.75" customHeight="1" x14ac:dyDescent="0.3">
      <c r="R243" s="10"/>
      <c r="S243" s="10"/>
      <c r="T243" s="10"/>
      <c r="U243" s="10"/>
      <c r="V243" s="10"/>
      <c r="W243" s="10"/>
      <c r="X243" s="10"/>
      <c r="Y243" s="10"/>
    </row>
    <row r="244" spans="18:25" ht="15.75" customHeight="1" x14ac:dyDescent="0.3">
      <c r="R244" s="10"/>
      <c r="S244" s="10"/>
      <c r="T244" s="10"/>
      <c r="U244" s="10"/>
      <c r="V244" s="10"/>
      <c r="W244" s="10"/>
      <c r="X244" s="10"/>
      <c r="Y244" s="10"/>
    </row>
    <row r="245" spans="18:25" ht="15.75" customHeight="1" x14ac:dyDescent="0.3">
      <c r="R245" s="10"/>
      <c r="S245" s="10"/>
      <c r="T245" s="10"/>
      <c r="U245" s="10"/>
      <c r="V245" s="10"/>
      <c r="W245" s="10"/>
      <c r="X245" s="10"/>
      <c r="Y245" s="10"/>
    </row>
    <row r="246" spans="18:25" ht="15.75" customHeight="1" x14ac:dyDescent="0.3">
      <c r="R246" s="10"/>
      <c r="S246" s="10"/>
      <c r="T246" s="10"/>
      <c r="U246" s="10"/>
      <c r="V246" s="10"/>
      <c r="W246" s="10"/>
      <c r="X246" s="10"/>
      <c r="Y246" s="10"/>
    </row>
    <row r="247" spans="18:25" ht="15.75" customHeight="1" x14ac:dyDescent="0.3">
      <c r="R247" s="10"/>
      <c r="S247" s="10"/>
      <c r="T247" s="10"/>
      <c r="U247" s="10"/>
      <c r="V247" s="10"/>
      <c r="W247" s="10"/>
      <c r="X247" s="10"/>
      <c r="Y247" s="10"/>
    </row>
    <row r="248" spans="18:25" ht="15.75" customHeight="1" x14ac:dyDescent="0.3">
      <c r="R248" s="10"/>
      <c r="S248" s="10"/>
      <c r="T248" s="10"/>
      <c r="U248" s="10"/>
      <c r="V248" s="10"/>
      <c r="W248" s="10"/>
      <c r="X248" s="10"/>
      <c r="Y248" s="10"/>
    </row>
    <row r="249" spans="18:25" ht="15.75" customHeight="1" x14ac:dyDescent="0.3">
      <c r="R249" s="10"/>
      <c r="S249" s="10"/>
      <c r="T249" s="10"/>
      <c r="U249" s="10"/>
      <c r="V249" s="10"/>
      <c r="W249" s="10"/>
      <c r="X249" s="10"/>
      <c r="Y249" s="10"/>
    </row>
    <row r="250" spans="18:25" ht="15.75" customHeight="1" x14ac:dyDescent="0.3">
      <c r="R250" s="10"/>
      <c r="S250" s="10"/>
      <c r="T250" s="10"/>
      <c r="U250" s="10"/>
      <c r="V250" s="10"/>
      <c r="W250" s="10"/>
      <c r="X250" s="10"/>
      <c r="Y250" s="10"/>
    </row>
    <row r="251" spans="18:25" ht="15.75" customHeight="1" x14ac:dyDescent="0.3">
      <c r="R251" s="10"/>
      <c r="S251" s="10"/>
      <c r="T251" s="10"/>
      <c r="U251" s="10"/>
      <c r="V251" s="10"/>
      <c r="W251" s="10"/>
      <c r="X251" s="10"/>
      <c r="Y251" s="10"/>
    </row>
    <row r="252" spans="18:25" ht="15.75" customHeight="1" x14ac:dyDescent="0.3">
      <c r="R252" s="10"/>
      <c r="S252" s="10"/>
      <c r="T252" s="10"/>
      <c r="U252" s="10"/>
      <c r="V252" s="10"/>
      <c r="W252" s="10"/>
      <c r="X252" s="10"/>
      <c r="Y252" s="10"/>
    </row>
    <row r="253" spans="18:25" ht="15.75" customHeight="1" x14ac:dyDescent="0.3">
      <c r="R253" s="10"/>
      <c r="S253" s="10"/>
      <c r="T253" s="10"/>
      <c r="U253" s="10"/>
      <c r="V253" s="10"/>
      <c r="W253" s="10"/>
      <c r="X253" s="10"/>
      <c r="Y253" s="10"/>
    </row>
    <row r="254" spans="18:25" ht="15.75" customHeight="1" x14ac:dyDescent="0.3">
      <c r="R254" s="10"/>
      <c r="S254" s="10"/>
      <c r="T254" s="10"/>
      <c r="U254" s="10"/>
      <c r="V254" s="10"/>
      <c r="W254" s="10"/>
      <c r="X254" s="10"/>
      <c r="Y254" s="10"/>
    </row>
    <row r="255" spans="18:25" ht="15.75" customHeight="1" x14ac:dyDescent="0.3">
      <c r="R255" s="10"/>
      <c r="S255" s="10"/>
      <c r="T255" s="10"/>
      <c r="U255" s="10"/>
      <c r="V255" s="10"/>
      <c r="W255" s="10"/>
      <c r="X255" s="10"/>
      <c r="Y255" s="10"/>
    </row>
    <row r="256" spans="18:25" ht="15.75" customHeight="1" x14ac:dyDescent="0.3">
      <c r="R256" s="10"/>
      <c r="S256" s="10"/>
      <c r="T256" s="10"/>
      <c r="U256" s="10"/>
      <c r="V256" s="10"/>
      <c r="W256" s="10"/>
      <c r="X256" s="10"/>
      <c r="Y256" s="10"/>
    </row>
    <row r="257" spans="18:25" ht="15.75" customHeight="1" x14ac:dyDescent="0.3">
      <c r="R257" s="10"/>
      <c r="S257" s="10"/>
      <c r="T257" s="10"/>
      <c r="U257" s="10"/>
      <c r="V257" s="10"/>
      <c r="W257" s="10"/>
      <c r="X257" s="10"/>
      <c r="Y257" s="10"/>
    </row>
    <row r="258" spans="18:25" ht="15.75" customHeight="1" x14ac:dyDescent="0.3">
      <c r="R258" s="10"/>
      <c r="S258" s="10"/>
      <c r="T258" s="10"/>
      <c r="U258" s="10"/>
      <c r="V258" s="10"/>
      <c r="W258" s="10"/>
      <c r="X258" s="10"/>
      <c r="Y258" s="10"/>
    </row>
    <row r="259" spans="18:25" ht="15.75" customHeight="1" x14ac:dyDescent="0.3">
      <c r="R259" s="10"/>
      <c r="S259" s="10"/>
      <c r="T259" s="10"/>
      <c r="U259" s="10"/>
      <c r="V259" s="10"/>
      <c r="W259" s="10"/>
      <c r="X259" s="10"/>
      <c r="Y259" s="10"/>
    </row>
    <row r="260" spans="18:25" ht="15.75" customHeight="1" x14ac:dyDescent="0.3">
      <c r="R260" s="10"/>
      <c r="S260" s="10"/>
      <c r="T260" s="10"/>
      <c r="U260" s="10"/>
      <c r="V260" s="10"/>
      <c r="W260" s="10"/>
      <c r="X260" s="10"/>
      <c r="Y260" s="10"/>
    </row>
    <row r="261" spans="18:25" ht="15.75" customHeight="1" x14ac:dyDescent="0.3">
      <c r="R261" s="10"/>
      <c r="S261" s="10"/>
      <c r="T261" s="10"/>
      <c r="U261" s="10"/>
      <c r="V261" s="10"/>
      <c r="W261" s="10"/>
      <c r="X261" s="10"/>
      <c r="Y261" s="10"/>
    </row>
    <row r="262" spans="18:25" ht="15.75" customHeight="1" x14ac:dyDescent="0.3">
      <c r="R262" s="10"/>
      <c r="S262" s="10"/>
      <c r="T262" s="10"/>
      <c r="U262" s="10"/>
      <c r="V262" s="10"/>
      <c r="W262" s="10"/>
      <c r="X262" s="10"/>
      <c r="Y262" s="10"/>
    </row>
    <row r="263" spans="18:25" ht="15.75" customHeight="1" x14ac:dyDescent="0.3">
      <c r="R263" s="10"/>
      <c r="S263" s="10"/>
      <c r="T263" s="10"/>
      <c r="U263" s="10"/>
      <c r="V263" s="10"/>
      <c r="W263" s="10"/>
      <c r="X263" s="10"/>
      <c r="Y263" s="10"/>
    </row>
    <row r="264" spans="18:25" ht="15.75" customHeight="1" x14ac:dyDescent="0.3">
      <c r="R264" s="10"/>
      <c r="S264" s="10"/>
      <c r="T264" s="10"/>
      <c r="U264" s="10"/>
      <c r="V264" s="10"/>
      <c r="W264" s="10"/>
      <c r="X264" s="10"/>
      <c r="Y264" s="10"/>
    </row>
    <row r="265" spans="18:25" ht="15.75" customHeight="1" x14ac:dyDescent="0.3">
      <c r="R265" s="10"/>
      <c r="S265" s="10"/>
      <c r="T265" s="10"/>
      <c r="U265" s="10"/>
      <c r="V265" s="10"/>
      <c r="W265" s="10"/>
      <c r="X265" s="10"/>
      <c r="Y265" s="10"/>
    </row>
    <row r="266" spans="18:25" ht="15.75" customHeight="1" x14ac:dyDescent="0.3">
      <c r="R266" s="10"/>
      <c r="S266" s="10"/>
      <c r="T266" s="10"/>
      <c r="U266" s="10"/>
      <c r="V266" s="10"/>
      <c r="W266" s="10"/>
      <c r="X266" s="10"/>
      <c r="Y266" s="10"/>
    </row>
    <row r="267" spans="18:25" ht="15.75" customHeight="1" x14ac:dyDescent="0.3">
      <c r="R267" s="10"/>
      <c r="S267" s="10"/>
      <c r="T267" s="10"/>
      <c r="U267" s="10"/>
      <c r="V267" s="10"/>
      <c r="W267" s="10"/>
      <c r="X267" s="10"/>
      <c r="Y267" s="10"/>
    </row>
    <row r="268" spans="18:25" ht="15.75" customHeight="1" x14ac:dyDescent="0.3">
      <c r="R268" s="10"/>
      <c r="S268" s="10"/>
      <c r="T268" s="10"/>
      <c r="U268" s="10"/>
      <c r="V268" s="10"/>
      <c r="W268" s="10"/>
      <c r="X268" s="10"/>
      <c r="Y268" s="10"/>
    </row>
    <row r="269" spans="18:25" ht="15.75" customHeight="1" x14ac:dyDescent="0.3">
      <c r="R269" s="10"/>
      <c r="S269" s="10"/>
      <c r="T269" s="10"/>
      <c r="U269" s="10"/>
      <c r="V269" s="10"/>
      <c r="W269" s="10"/>
      <c r="X269" s="10"/>
      <c r="Y269" s="10"/>
    </row>
    <row r="270" spans="18:25" ht="15.75" customHeight="1" x14ac:dyDescent="0.3">
      <c r="R270" s="10"/>
      <c r="S270" s="10"/>
      <c r="T270" s="10"/>
      <c r="U270" s="10"/>
      <c r="V270" s="10"/>
      <c r="W270" s="10"/>
      <c r="X270" s="10"/>
      <c r="Y270" s="10"/>
    </row>
    <row r="271" spans="18:25" ht="15.75" customHeight="1" x14ac:dyDescent="0.3">
      <c r="R271" s="10"/>
      <c r="S271" s="10"/>
      <c r="T271" s="10"/>
      <c r="U271" s="10"/>
      <c r="V271" s="10"/>
      <c r="W271" s="10"/>
      <c r="X271" s="10"/>
      <c r="Y271" s="10"/>
    </row>
    <row r="272" spans="18:25" ht="15.75" customHeight="1" x14ac:dyDescent="0.3">
      <c r="R272" s="10"/>
      <c r="S272" s="10"/>
      <c r="T272" s="10"/>
      <c r="U272" s="10"/>
      <c r="V272" s="10"/>
      <c r="W272" s="10"/>
      <c r="X272" s="10"/>
      <c r="Y272" s="10"/>
    </row>
    <row r="273" spans="18:25" ht="15.75" customHeight="1" x14ac:dyDescent="0.3">
      <c r="R273" s="10"/>
      <c r="S273" s="10"/>
      <c r="T273" s="10"/>
      <c r="U273" s="10"/>
      <c r="V273" s="10"/>
      <c r="W273" s="10"/>
      <c r="X273" s="10"/>
      <c r="Y273" s="10"/>
    </row>
    <row r="274" spans="18:25" ht="15.75" customHeight="1" x14ac:dyDescent="0.3">
      <c r="R274" s="10"/>
      <c r="S274" s="10"/>
      <c r="T274" s="10"/>
      <c r="U274" s="10"/>
      <c r="V274" s="10"/>
      <c r="W274" s="10"/>
      <c r="X274" s="10"/>
      <c r="Y274" s="10"/>
    </row>
    <row r="275" spans="18:25" ht="15.75" customHeight="1" x14ac:dyDescent="0.3">
      <c r="R275" s="10"/>
      <c r="S275" s="10"/>
      <c r="T275" s="10"/>
      <c r="U275" s="10"/>
      <c r="V275" s="10"/>
      <c r="W275" s="10"/>
      <c r="X275" s="10"/>
      <c r="Y275" s="10"/>
    </row>
    <row r="276" spans="18:25" ht="15.75" customHeight="1" x14ac:dyDescent="0.3">
      <c r="R276" s="10"/>
      <c r="S276" s="10"/>
      <c r="T276" s="10"/>
      <c r="U276" s="10"/>
      <c r="V276" s="10"/>
      <c r="W276" s="10"/>
      <c r="X276" s="10"/>
      <c r="Y276" s="10"/>
    </row>
    <row r="277" spans="18:25" ht="15.75" customHeight="1" x14ac:dyDescent="0.3">
      <c r="R277" s="10"/>
      <c r="S277" s="10"/>
      <c r="T277" s="10"/>
      <c r="U277" s="10"/>
      <c r="V277" s="10"/>
      <c r="W277" s="10"/>
      <c r="X277" s="10"/>
      <c r="Y277" s="10"/>
    </row>
    <row r="278" spans="18:25" ht="15.75" customHeight="1" x14ac:dyDescent="0.3">
      <c r="R278" s="10"/>
      <c r="S278" s="10"/>
      <c r="T278" s="10"/>
      <c r="U278" s="10"/>
      <c r="V278" s="10"/>
      <c r="W278" s="10"/>
      <c r="X278" s="10"/>
      <c r="Y278" s="10"/>
    </row>
    <row r="279" spans="18:25" ht="15.75" customHeight="1" x14ac:dyDescent="0.3">
      <c r="R279" s="10"/>
      <c r="S279" s="10"/>
      <c r="T279" s="10"/>
      <c r="U279" s="10"/>
      <c r="V279" s="10"/>
      <c r="W279" s="10"/>
      <c r="X279" s="10"/>
      <c r="Y279" s="10"/>
    </row>
    <row r="280" spans="18:25" ht="15.75" customHeight="1" x14ac:dyDescent="0.3">
      <c r="R280" s="10"/>
      <c r="S280" s="10"/>
      <c r="T280" s="10"/>
      <c r="U280" s="10"/>
      <c r="V280" s="10"/>
      <c r="W280" s="10"/>
      <c r="X280" s="10"/>
      <c r="Y280" s="10"/>
    </row>
    <row r="281" spans="18:25" ht="15.75" customHeight="1" x14ac:dyDescent="0.3">
      <c r="R281" s="10"/>
      <c r="S281" s="10"/>
      <c r="T281" s="10"/>
      <c r="U281" s="10"/>
      <c r="V281" s="10"/>
      <c r="W281" s="10"/>
      <c r="X281" s="10"/>
      <c r="Y281" s="10"/>
    </row>
    <row r="282" spans="18:25" ht="15.75" customHeight="1" x14ac:dyDescent="0.3">
      <c r="R282" s="10"/>
      <c r="S282" s="10"/>
      <c r="T282" s="10"/>
      <c r="U282" s="10"/>
      <c r="V282" s="10"/>
      <c r="W282" s="10"/>
      <c r="X282" s="10"/>
      <c r="Y282" s="10"/>
    </row>
    <row r="283" spans="18:25" ht="15.75" customHeight="1" x14ac:dyDescent="0.3">
      <c r="R283" s="10"/>
      <c r="S283" s="10"/>
      <c r="T283" s="10"/>
      <c r="U283" s="10"/>
      <c r="V283" s="10"/>
      <c r="W283" s="10"/>
      <c r="X283" s="10"/>
      <c r="Y283" s="10"/>
    </row>
    <row r="284" spans="18:25" ht="15.75" customHeight="1" x14ac:dyDescent="0.3">
      <c r="R284" s="10"/>
      <c r="S284" s="10"/>
      <c r="T284" s="10"/>
      <c r="U284" s="10"/>
      <c r="V284" s="10"/>
      <c r="W284" s="10"/>
      <c r="X284" s="10"/>
      <c r="Y284" s="10"/>
    </row>
    <row r="285" spans="18:25" ht="15.75" customHeight="1" x14ac:dyDescent="0.3">
      <c r="R285" s="10"/>
      <c r="S285" s="10"/>
      <c r="T285" s="10"/>
      <c r="U285" s="10"/>
      <c r="V285" s="10"/>
      <c r="W285" s="10"/>
      <c r="X285" s="10"/>
      <c r="Y285" s="10"/>
    </row>
    <row r="286" spans="18:25" ht="15.75" customHeight="1" x14ac:dyDescent="0.3">
      <c r="R286" s="10"/>
      <c r="S286" s="10"/>
      <c r="T286" s="10"/>
      <c r="U286" s="10"/>
      <c r="V286" s="10"/>
      <c r="W286" s="10"/>
      <c r="X286" s="10"/>
      <c r="Y286" s="10"/>
    </row>
    <row r="287" spans="18:25" ht="15.75" customHeight="1" x14ac:dyDescent="0.3">
      <c r="R287" s="10"/>
      <c r="S287" s="10"/>
      <c r="T287" s="10"/>
      <c r="U287" s="10"/>
      <c r="V287" s="10"/>
      <c r="W287" s="10"/>
      <c r="X287" s="10"/>
      <c r="Y287" s="10"/>
    </row>
    <row r="288" spans="18:25" ht="15.75" customHeight="1" x14ac:dyDescent="0.3">
      <c r="R288" s="10"/>
      <c r="S288" s="10"/>
      <c r="T288" s="10"/>
      <c r="U288" s="10"/>
      <c r="V288" s="10"/>
      <c r="W288" s="10"/>
      <c r="X288" s="10"/>
      <c r="Y288" s="10"/>
    </row>
    <row r="289" spans="18:25" ht="15.75" customHeight="1" x14ac:dyDescent="0.3">
      <c r="R289" s="10"/>
      <c r="S289" s="10"/>
      <c r="T289" s="10"/>
      <c r="U289" s="10"/>
      <c r="V289" s="10"/>
      <c r="W289" s="10"/>
      <c r="X289" s="10"/>
      <c r="Y289" s="10"/>
    </row>
    <row r="290" spans="18:25" ht="15.75" customHeight="1" x14ac:dyDescent="0.3">
      <c r="R290" s="10"/>
      <c r="S290" s="10"/>
      <c r="T290" s="10"/>
      <c r="U290" s="10"/>
      <c r="V290" s="10"/>
      <c r="W290" s="10"/>
      <c r="X290" s="10"/>
      <c r="Y290" s="10"/>
    </row>
    <row r="291" spans="18:25" ht="15.75" customHeight="1" x14ac:dyDescent="0.3">
      <c r="R291" s="10"/>
      <c r="S291" s="10"/>
      <c r="T291" s="10"/>
      <c r="U291" s="10"/>
      <c r="V291" s="10"/>
      <c r="W291" s="10"/>
      <c r="X291" s="10"/>
      <c r="Y291" s="10"/>
    </row>
    <row r="292" spans="18:25" ht="15.75" customHeight="1" x14ac:dyDescent="0.3">
      <c r="R292" s="10"/>
      <c r="S292" s="10"/>
      <c r="T292" s="10"/>
      <c r="U292" s="10"/>
      <c r="V292" s="10"/>
      <c r="W292" s="10"/>
      <c r="X292" s="10"/>
      <c r="Y292" s="10"/>
    </row>
    <row r="293" spans="18:25" ht="15.75" customHeight="1" x14ac:dyDescent="0.3">
      <c r="R293" s="10"/>
      <c r="S293" s="10"/>
      <c r="T293" s="10"/>
      <c r="U293" s="10"/>
      <c r="V293" s="10"/>
      <c r="W293" s="10"/>
      <c r="X293" s="10"/>
      <c r="Y293" s="10"/>
    </row>
    <row r="294" spans="18:25" ht="15.75" customHeight="1" x14ac:dyDescent="0.3">
      <c r="R294" s="10"/>
      <c r="S294" s="10"/>
      <c r="T294" s="10"/>
      <c r="U294" s="10"/>
      <c r="V294" s="10"/>
      <c r="W294" s="10"/>
      <c r="X294" s="10"/>
      <c r="Y294" s="10"/>
    </row>
    <row r="295" spans="18:25" ht="15.75" customHeight="1" x14ac:dyDescent="0.3">
      <c r="R295" s="10"/>
      <c r="S295" s="10"/>
      <c r="T295" s="10"/>
      <c r="U295" s="10"/>
      <c r="V295" s="10"/>
      <c r="W295" s="10"/>
      <c r="X295" s="10"/>
      <c r="Y295" s="10"/>
    </row>
    <row r="296" spans="18:25" ht="15.75" customHeight="1" x14ac:dyDescent="0.3"/>
    <row r="297" spans="18:25" ht="15.75" customHeight="1" x14ac:dyDescent="0.3"/>
    <row r="298" spans="18:25" ht="15.75" customHeight="1" x14ac:dyDescent="0.3"/>
    <row r="299" spans="18:25" ht="15.75" customHeight="1" x14ac:dyDescent="0.3"/>
    <row r="300" spans="18:25" ht="15.75" customHeight="1" x14ac:dyDescent="0.3"/>
    <row r="301" spans="18:25" ht="15.75" customHeight="1" x14ac:dyDescent="0.3"/>
    <row r="302" spans="18:25" ht="15.75" customHeight="1" x14ac:dyDescent="0.3"/>
    <row r="303" spans="18:25" ht="15.75" customHeight="1" x14ac:dyDescent="0.3"/>
    <row r="304" spans="18:25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C5:H95" xr:uid="{00000000-0009-0000-0000-000002000000}"/>
  <mergeCells count="1">
    <mergeCell ref="C4:H4"/>
  </mergeCells>
  <conditionalFormatting sqref="E6:E95">
    <cfRule type="expression" dxfId="22" priority="2">
      <formula>E6="TEM PERFIL"</formula>
    </cfRule>
    <cfRule type="expression" dxfId="21" priority="3">
      <formula>E6="NÃO TEM PERFIL"</formula>
    </cfRule>
    <cfRule type="expression" dxfId="20" priority="4">
      <formula>E6="AGUARDANDO RETORNO"</formula>
    </cfRule>
    <cfRule type="expression" dxfId="19" priority="5">
      <formula>E6="DADOS DIVERGENTES"</formula>
    </cfRule>
    <cfRule type="expression" dxfId="18" priority="6">
      <formula>E6="DADOS INVÁLIDOS"</formula>
    </cfRule>
  </conditionalFormatting>
  <conditionalFormatting sqref="G6:G95">
    <cfRule type="cellIs" dxfId="17" priority="7" operator="lessThan">
      <formula>0</formula>
    </cfRule>
    <cfRule type="cellIs" dxfId="16" priority="8" operator="between">
      <formula>0</formula>
      <formula>30</formula>
    </cfRule>
    <cfRule type="cellIs" dxfId="15" priority="9" operator="between">
      <formula>31</formula>
      <formula>60</formula>
    </cfRule>
    <cfRule type="cellIs" dxfId="14" priority="10" operator="greaterThan">
      <formula>60</formula>
    </cfRule>
  </conditionalFormatting>
  <dataValidations count="1">
    <dataValidation type="list" allowBlank="1" sqref="E6:E95" xr:uid="{00000000-0002-0000-0200-000000000000}">
      <formula1>"TEM PERFIL,AGUARDANDO RETORNO,NÃO TEM PERFIL,DADOS DIVERGENTES,DADOS INVÁLIDOS"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1000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34" sqref="A34"/>
    </sheetView>
  </sheetViews>
  <sheetFormatPr defaultColWidth="14.44140625" defaultRowHeight="14.4" x14ac:dyDescent="0.3"/>
  <cols>
    <col min="1" max="1" width="60.33203125" style="10" customWidth="1"/>
    <col min="2" max="2" width="38" style="10" customWidth="1"/>
    <col min="3" max="3" width="16" style="10" customWidth="1"/>
    <col min="4" max="4" width="13" style="10" customWidth="1"/>
    <col min="5" max="5" width="14" style="10" customWidth="1"/>
    <col min="6" max="6" width="22" style="10" customWidth="1"/>
  </cols>
  <sheetData>
    <row r="1" spans="1:25" ht="27.75" customHeight="1" x14ac:dyDescent="0.3">
      <c r="A1" s="30" t="s">
        <v>0</v>
      </c>
      <c r="B1" s="31"/>
      <c r="C1" s="31"/>
      <c r="D1" s="31"/>
      <c r="E1" s="31"/>
      <c r="F1" s="31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1:25" ht="21.75" customHeight="1" x14ac:dyDescent="0.3">
      <c r="A2" s="32" t="s">
        <v>195</v>
      </c>
      <c r="B2" s="31"/>
      <c r="C2" s="31"/>
      <c r="D2" s="31"/>
      <c r="E2" s="31"/>
      <c r="F2" s="31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ht="15.75" customHeight="1" x14ac:dyDescent="0.3">
      <c r="A3" s="33" t="s">
        <v>14</v>
      </c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ht="18" customHeight="1" x14ac:dyDescent="0.3">
      <c r="A4" s="1" t="str">
        <f>"📋 "&amp;COUNTA(#REF!)&amp;" registros   |   ✅ "&amp;COUNTIF(C6:C20,"TEM PERFIL")&amp;"   |   🕓 "&amp;COUNTIF(C6:C20,"AGUARDANDO RETORNO")&amp;"   |   ❌ "&amp;COUNTIF(C6:C20,"NÃO TEM PERFIL")</f>
        <v>📋 1 registros   |   ✅ 7   |   🕓 0   |   ❌ 1</v>
      </c>
      <c r="B4" s="1"/>
      <c r="C4" s="1"/>
      <c r="D4" s="1"/>
      <c r="E4" s="1"/>
      <c r="F4" s="1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ht="21.75" customHeight="1" x14ac:dyDescent="0.3">
      <c r="A5" s="34" t="s">
        <v>7</v>
      </c>
      <c r="B5" s="34" t="s">
        <v>64</v>
      </c>
      <c r="C5" s="34" t="s">
        <v>10</v>
      </c>
      <c r="D5" s="34" t="s">
        <v>16</v>
      </c>
      <c r="E5" s="34" t="s">
        <v>12</v>
      </c>
      <c r="F5" s="34" t="s">
        <v>17</v>
      </c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spans="1:25" ht="15" customHeight="1" x14ac:dyDescent="0.3">
      <c r="A6" s="35">
        <f t="shared" ref="A6:A20" si="0">IF(B6="","",ROW()-5)</f>
        <v>1</v>
      </c>
      <c r="B6" s="43" t="s">
        <v>160</v>
      </c>
      <c r="C6" s="36" t="s">
        <v>24</v>
      </c>
      <c r="D6" s="37" t="s">
        <v>184</v>
      </c>
      <c r="E6" s="36">
        <f t="shared" ref="E6:E20" ca="1" si="1">IFERROR(IF(ISNUMBER(D6),D6-TODAY(),DATE(VALUE(RIGHT(D6,4)),VALUE(MID(D6,4,2)),VALUE(LEFT(D6,2)))-TODAY()),"—")</f>
        <v>137</v>
      </c>
      <c r="F6" s="35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 spans="1:25" ht="18" customHeight="1" x14ac:dyDescent="0.3">
      <c r="A7" s="35">
        <f t="shared" si="0"/>
        <v>2</v>
      </c>
      <c r="B7" s="45" t="s">
        <v>196</v>
      </c>
      <c r="C7" s="38" t="s">
        <v>24</v>
      </c>
      <c r="D7" s="39" t="s">
        <v>33</v>
      </c>
      <c r="E7" s="38">
        <f t="shared" ca="1" si="1"/>
        <v>147</v>
      </c>
      <c r="F7" s="38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 spans="1:25" ht="21.75" customHeight="1" x14ac:dyDescent="0.3">
      <c r="A8" s="35">
        <f t="shared" si="0"/>
        <v>3</v>
      </c>
      <c r="B8" s="43" t="s">
        <v>197</v>
      </c>
      <c r="C8" s="36" t="s">
        <v>24</v>
      </c>
      <c r="D8" s="37">
        <v>46406</v>
      </c>
      <c r="E8" s="36">
        <f t="shared" ca="1" si="1"/>
        <v>137</v>
      </c>
      <c r="F8" s="35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 spans="1:25" ht="16.5" customHeight="1" x14ac:dyDescent="0.3">
      <c r="A9" s="35">
        <f t="shared" si="0"/>
        <v>4</v>
      </c>
      <c r="B9" s="45" t="s">
        <v>198</v>
      </c>
      <c r="C9" s="38" t="s">
        <v>24</v>
      </c>
      <c r="D9" s="39">
        <v>46406</v>
      </c>
      <c r="E9" s="40">
        <f t="shared" ca="1" si="1"/>
        <v>137</v>
      </c>
      <c r="F9" s="38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spans="1:25" ht="16.5" customHeight="1" x14ac:dyDescent="0.3">
      <c r="A10" s="35">
        <f t="shared" si="0"/>
        <v>5</v>
      </c>
      <c r="B10" s="43" t="s">
        <v>199</v>
      </c>
      <c r="C10" s="36" t="s">
        <v>24</v>
      </c>
      <c r="D10" s="37">
        <v>46406</v>
      </c>
      <c r="E10" s="35">
        <f t="shared" ca="1" si="1"/>
        <v>137</v>
      </c>
      <c r="F10" s="35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 spans="1:25" ht="15" customHeight="1" x14ac:dyDescent="0.3">
      <c r="A11" s="35">
        <f t="shared" si="0"/>
        <v>6</v>
      </c>
      <c r="B11" s="45" t="s">
        <v>200</v>
      </c>
      <c r="C11" s="38" t="s">
        <v>24</v>
      </c>
      <c r="D11" s="39" t="s">
        <v>47</v>
      </c>
      <c r="E11" s="38">
        <f t="shared" ca="1" si="1"/>
        <v>146</v>
      </c>
      <c r="F11" s="38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 spans="1:25" ht="15" customHeight="1" x14ac:dyDescent="0.3">
      <c r="A12" s="35">
        <f t="shared" si="0"/>
        <v>7</v>
      </c>
      <c r="B12" s="43" t="s">
        <v>201</v>
      </c>
      <c r="C12" s="36" t="s">
        <v>24</v>
      </c>
      <c r="D12" s="37" t="s">
        <v>47</v>
      </c>
      <c r="E12" s="36">
        <f t="shared" ca="1" si="1"/>
        <v>146</v>
      </c>
      <c r="F12" s="35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 spans="1:25" ht="15" customHeight="1" x14ac:dyDescent="0.3">
      <c r="A13" s="35">
        <f t="shared" si="0"/>
        <v>8</v>
      </c>
      <c r="B13" s="45" t="s">
        <v>202</v>
      </c>
      <c r="C13" s="38" t="s">
        <v>19</v>
      </c>
      <c r="D13" s="39"/>
      <c r="E13" s="38" t="str">
        <f t="shared" ca="1" si="1"/>
        <v>—</v>
      </c>
      <c r="F13" s="38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 spans="1:25" ht="15" customHeight="1" x14ac:dyDescent="0.3">
      <c r="A14" s="35" t="str">
        <f t="shared" si="0"/>
        <v/>
      </c>
      <c r="B14" s="43"/>
      <c r="C14" s="36"/>
      <c r="D14" s="37"/>
      <c r="E14" s="36" t="str">
        <f t="shared" ca="1" si="1"/>
        <v>—</v>
      </c>
      <c r="F14" s="35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 spans="1:25" ht="15" customHeight="1" x14ac:dyDescent="0.3">
      <c r="A15" s="35" t="str">
        <f t="shared" si="0"/>
        <v/>
      </c>
      <c r="B15" s="45"/>
      <c r="C15" s="38"/>
      <c r="D15" s="39"/>
      <c r="E15" s="38" t="str">
        <f t="shared" ca="1" si="1"/>
        <v>—</v>
      </c>
      <c r="F15" s="38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 spans="1:25" ht="15" customHeight="1" x14ac:dyDescent="0.3">
      <c r="A16" s="35" t="str">
        <f t="shared" si="0"/>
        <v/>
      </c>
      <c r="B16" s="43"/>
      <c r="C16" s="36"/>
      <c r="D16" s="37"/>
      <c r="E16" s="36" t="str">
        <f t="shared" ca="1" si="1"/>
        <v>—</v>
      </c>
      <c r="F16" s="35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spans="1:25" ht="15" customHeight="1" x14ac:dyDescent="0.3">
      <c r="A17" s="35" t="str">
        <f t="shared" si="0"/>
        <v/>
      </c>
      <c r="B17" s="45"/>
      <c r="C17" s="38"/>
      <c r="D17" s="39"/>
      <c r="E17" s="38" t="str">
        <f t="shared" ca="1" si="1"/>
        <v>—</v>
      </c>
      <c r="F17" s="38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spans="1:25" ht="15" customHeight="1" x14ac:dyDescent="0.3">
      <c r="A18" s="35" t="str">
        <f t="shared" si="0"/>
        <v/>
      </c>
      <c r="B18" s="43"/>
      <c r="C18" s="36"/>
      <c r="D18" s="37"/>
      <c r="E18" s="36" t="str">
        <f t="shared" ca="1" si="1"/>
        <v>—</v>
      </c>
      <c r="F18" s="35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 spans="1:25" ht="15" customHeight="1" x14ac:dyDescent="0.3">
      <c r="A19" s="35" t="str">
        <f t="shared" si="0"/>
        <v/>
      </c>
      <c r="B19" s="45"/>
      <c r="C19" s="38"/>
      <c r="D19" s="39"/>
      <c r="E19" s="38" t="str">
        <f t="shared" ca="1" si="1"/>
        <v>—</v>
      </c>
      <c r="F19" s="38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 spans="1:25" ht="15" customHeight="1" x14ac:dyDescent="0.3">
      <c r="A20" s="35" t="str">
        <f t="shared" si="0"/>
        <v/>
      </c>
      <c r="B20" s="43"/>
      <c r="C20" s="36"/>
      <c r="D20" s="37"/>
      <c r="E20" s="36" t="str">
        <f t="shared" ca="1" si="1"/>
        <v>—</v>
      </c>
      <c r="F20" s="35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 spans="1:25" ht="15.75" customHeight="1" x14ac:dyDescent="0.3"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 spans="1:25" ht="15.75" customHeight="1" x14ac:dyDescent="0.3"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 spans="1:25" ht="15.75" customHeight="1" x14ac:dyDescent="0.3"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 spans="1:25" ht="15.75" customHeight="1" x14ac:dyDescent="0.3"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 spans="1:25" ht="15.75" customHeight="1" x14ac:dyDescent="0.3"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 spans="1:25" ht="15.75" customHeight="1" x14ac:dyDescent="0.3"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spans="1:25" ht="15.75" customHeight="1" x14ac:dyDescent="0.3"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spans="1:25" ht="15.75" customHeight="1" x14ac:dyDescent="0.3"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spans="1:25" ht="15.75" customHeight="1" x14ac:dyDescent="0.3"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spans="1:25" ht="15.75" customHeight="1" x14ac:dyDescent="0.3"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spans="1:25" ht="15.75" customHeight="1" x14ac:dyDescent="0.3"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spans="1:25" ht="15.75" customHeight="1" x14ac:dyDescent="0.3"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spans="7:25" ht="15.75" customHeight="1" x14ac:dyDescent="0.3"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spans="7:25" ht="15.75" customHeight="1" x14ac:dyDescent="0.3"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 spans="7:25" ht="15.75" customHeight="1" x14ac:dyDescent="0.3"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 spans="7:25" ht="15.75" customHeight="1" x14ac:dyDescent="0.3"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 spans="7:25" ht="15.75" customHeight="1" x14ac:dyDescent="0.3"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 spans="7:25" ht="15.75" customHeight="1" x14ac:dyDescent="0.3"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 spans="7:25" ht="15.75" customHeight="1" x14ac:dyDescent="0.3"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 spans="7:25" ht="15.75" customHeight="1" x14ac:dyDescent="0.3"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 spans="7:25" ht="15.75" customHeight="1" x14ac:dyDescent="0.3"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 spans="7:25" ht="15.75" customHeight="1" x14ac:dyDescent="0.3"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 spans="7:25" ht="15.75" customHeight="1" x14ac:dyDescent="0.3"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 spans="7:25" ht="15.75" customHeight="1" x14ac:dyDescent="0.3"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 spans="7:25" ht="15.75" customHeight="1" x14ac:dyDescent="0.3"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 spans="7:25" ht="15.75" customHeight="1" x14ac:dyDescent="0.3"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 spans="7:25" ht="15.75" customHeight="1" x14ac:dyDescent="0.3"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 spans="7:25" ht="15.75" customHeight="1" x14ac:dyDescent="0.3"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 spans="7:25" ht="15.75" customHeight="1" x14ac:dyDescent="0.3"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 spans="7:25" ht="15.75" customHeight="1" x14ac:dyDescent="0.3"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 spans="7:25" ht="15.75" customHeight="1" x14ac:dyDescent="0.3"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 spans="7:25" ht="15.75" customHeight="1" x14ac:dyDescent="0.3"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 spans="7:25" ht="15.75" customHeight="1" x14ac:dyDescent="0.3"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 spans="7:25" ht="15.75" customHeight="1" x14ac:dyDescent="0.3"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 spans="7:25" ht="15.75" customHeight="1" x14ac:dyDescent="0.3"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 spans="7:25" ht="15.75" customHeight="1" x14ac:dyDescent="0.3"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 spans="7:25" ht="15.75" customHeight="1" x14ac:dyDescent="0.3"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 spans="7:25" ht="15.75" customHeight="1" x14ac:dyDescent="0.3"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 spans="7:25" ht="15.75" customHeight="1" x14ac:dyDescent="0.3"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 spans="7:25" ht="15.75" customHeight="1" x14ac:dyDescent="0.3"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 spans="7:25" ht="15.75" customHeight="1" x14ac:dyDescent="0.3"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 spans="7:25" ht="15.75" customHeight="1" x14ac:dyDescent="0.3"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 spans="7:25" ht="15.75" customHeight="1" x14ac:dyDescent="0.3"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 spans="7:25" ht="15.75" customHeight="1" x14ac:dyDescent="0.3"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 spans="7:25" ht="15.75" customHeight="1" x14ac:dyDescent="0.3"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 spans="7:25" ht="15.75" customHeight="1" x14ac:dyDescent="0.3"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 spans="7:25" ht="15.75" customHeight="1" x14ac:dyDescent="0.3"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 spans="7:25" ht="15.75" customHeight="1" x14ac:dyDescent="0.3"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 spans="7:25" ht="15.75" customHeight="1" x14ac:dyDescent="0.3"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 spans="7:25" ht="15.75" customHeight="1" x14ac:dyDescent="0.3"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 spans="7:25" ht="15.75" customHeight="1" x14ac:dyDescent="0.3"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 spans="7:25" ht="15.75" customHeight="1" x14ac:dyDescent="0.3"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 spans="7:25" ht="15.75" customHeight="1" x14ac:dyDescent="0.3"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 spans="7:25" ht="15.75" customHeight="1" x14ac:dyDescent="0.3"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 spans="7:25" ht="15.75" customHeight="1" x14ac:dyDescent="0.3"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 spans="7:25" ht="15.75" customHeight="1" x14ac:dyDescent="0.3"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 spans="7:25" ht="15.75" customHeight="1" x14ac:dyDescent="0.3"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 spans="7:25" ht="15.75" customHeight="1" x14ac:dyDescent="0.3"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 spans="7:25" ht="15.75" customHeight="1" x14ac:dyDescent="0.3"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 spans="7:25" ht="15.75" customHeight="1" x14ac:dyDescent="0.3"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 spans="7:25" ht="15.75" customHeight="1" x14ac:dyDescent="0.3"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 spans="7:25" ht="15.75" customHeight="1" x14ac:dyDescent="0.3"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 spans="7:25" ht="15.75" customHeight="1" x14ac:dyDescent="0.3"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 spans="7:25" ht="15.75" customHeight="1" x14ac:dyDescent="0.3"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 spans="7:25" ht="15.75" customHeight="1" x14ac:dyDescent="0.3"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 spans="7:25" ht="15.75" customHeight="1" x14ac:dyDescent="0.3"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 spans="7:25" ht="15.75" customHeight="1" x14ac:dyDescent="0.3"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 spans="7:25" ht="15.75" customHeight="1" x14ac:dyDescent="0.3"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 spans="7:25" ht="15.75" customHeight="1" x14ac:dyDescent="0.3"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 spans="7:25" ht="15.75" customHeight="1" x14ac:dyDescent="0.3"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 spans="7:25" ht="15.75" customHeight="1" x14ac:dyDescent="0.3"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 spans="7:25" ht="15.75" customHeight="1" x14ac:dyDescent="0.3"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 spans="7:25" ht="15.75" customHeight="1" x14ac:dyDescent="0.3"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 spans="7:25" ht="15.75" customHeight="1" x14ac:dyDescent="0.3"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 spans="7:25" ht="15.75" customHeight="1" x14ac:dyDescent="0.3"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 spans="7:25" ht="15.75" customHeight="1" x14ac:dyDescent="0.3"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 spans="7:25" ht="15.75" customHeight="1" x14ac:dyDescent="0.3"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 spans="7:25" ht="15.75" customHeight="1" x14ac:dyDescent="0.3"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 spans="7:25" ht="15.75" customHeight="1" x14ac:dyDescent="0.3"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 spans="7:25" ht="15.75" customHeight="1" x14ac:dyDescent="0.3"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 spans="7:25" ht="15.75" customHeight="1" x14ac:dyDescent="0.3"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 spans="7:25" ht="15.75" customHeight="1" x14ac:dyDescent="0.3"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 spans="7:25" ht="15.75" customHeight="1" x14ac:dyDescent="0.3"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 spans="7:25" ht="15.75" customHeight="1" x14ac:dyDescent="0.3"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 spans="7:25" ht="15.75" customHeight="1" x14ac:dyDescent="0.3"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 spans="7:25" ht="15.75" customHeight="1" x14ac:dyDescent="0.3"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 spans="7:25" ht="15.75" customHeight="1" x14ac:dyDescent="0.3"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 spans="7:25" ht="15.75" customHeight="1" x14ac:dyDescent="0.3"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 spans="7:25" ht="15.75" customHeight="1" x14ac:dyDescent="0.3"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 spans="7:25" ht="15.75" customHeight="1" x14ac:dyDescent="0.3"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 spans="7:25" ht="15.75" customHeight="1" x14ac:dyDescent="0.3"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 spans="7:25" ht="15.75" customHeight="1" x14ac:dyDescent="0.3"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 spans="7:25" ht="15.75" customHeight="1" x14ac:dyDescent="0.3"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 spans="7:25" ht="15.75" customHeight="1" x14ac:dyDescent="0.3"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 spans="7:25" ht="15.75" customHeight="1" x14ac:dyDescent="0.3"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 spans="7:25" ht="15.75" customHeight="1" x14ac:dyDescent="0.3"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 spans="7:25" ht="15.75" customHeight="1" x14ac:dyDescent="0.3"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 spans="7:25" ht="15.75" customHeight="1" x14ac:dyDescent="0.3"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 spans="7:25" ht="15.75" customHeight="1" x14ac:dyDescent="0.3"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 spans="7:25" ht="15.75" customHeight="1" x14ac:dyDescent="0.3"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 spans="7:25" ht="15.75" customHeight="1" x14ac:dyDescent="0.3"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 spans="7:25" ht="15.75" customHeight="1" x14ac:dyDescent="0.3"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 spans="7:25" ht="15.75" customHeight="1" x14ac:dyDescent="0.3"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 spans="7:25" ht="15.75" customHeight="1" x14ac:dyDescent="0.3"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 spans="7:25" ht="15.75" customHeight="1" x14ac:dyDescent="0.3"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 spans="7:25" ht="15.75" customHeight="1" x14ac:dyDescent="0.3"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 spans="7:25" ht="15.75" customHeight="1" x14ac:dyDescent="0.3"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 spans="7:25" ht="15.75" customHeight="1" x14ac:dyDescent="0.3"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 spans="7:25" ht="15.75" customHeight="1" x14ac:dyDescent="0.3"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 spans="7:25" ht="15.75" customHeight="1" x14ac:dyDescent="0.3"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 spans="7:25" ht="15.75" customHeight="1" x14ac:dyDescent="0.3"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 spans="7:25" ht="15.75" customHeight="1" x14ac:dyDescent="0.3"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 spans="7:25" ht="15.75" customHeight="1" x14ac:dyDescent="0.3"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 spans="7:25" ht="15.75" customHeight="1" x14ac:dyDescent="0.3"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 spans="7:25" ht="15.75" customHeight="1" x14ac:dyDescent="0.3"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 spans="7:25" ht="15.75" customHeight="1" x14ac:dyDescent="0.3"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 spans="7:25" ht="15.75" customHeight="1" x14ac:dyDescent="0.3"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 spans="7:25" ht="15.75" customHeight="1" x14ac:dyDescent="0.3"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 spans="7:25" ht="15.75" customHeight="1" x14ac:dyDescent="0.3"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 spans="7:25" ht="15.75" customHeight="1" x14ac:dyDescent="0.3"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 spans="7:25" ht="15.75" customHeight="1" x14ac:dyDescent="0.3"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 spans="7:25" ht="15.75" customHeight="1" x14ac:dyDescent="0.3"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 spans="7:25" ht="15.75" customHeight="1" x14ac:dyDescent="0.3"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 spans="7:25" ht="15.75" customHeight="1" x14ac:dyDescent="0.3"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 spans="7:25" ht="15.75" customHeight="1" x14ac:dyDescent="0.3"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 spans="7:25" ht="15.75" customHeight="1" x14ac:dyDescent="0.3"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 spans="7:25" ht="15.75" customHeight="1" x14ac:dyDescent="0.3"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 spans="7:25" ht="15.75" customHeight="1" x14ac:dyDescent="0.3"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 spans="7:25" ht="15.75" customHeight="1" x14ac:dyDescent="0.3"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 spans="7:25" ht="15.75" customHeight="1" x14ac:dyDescent="0.3"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 spans="7:25" ht="15.75" customHeight="1" x14ac:dyDescent="0.3"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 spans="7:25" ht="15.75" customHeight="1" x14ac:dyDescent="0.3"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 spans="7:25" ht="15.75" customHeight="1" x14ac:dyDescent="0.3"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 spans="7:25" ht="15.75" customHeight="1" x14ac:dyDescent="0.3"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 spans="7:25" ht="15.75" customHeight="1" x14ac:dyDescent="0.3"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 spans="7:25" ht="15.75" customHeight="1" x14ac:dyDescent="0.3"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 spans="7:25" ht="15.75" customHeight="1" x14ac:dyDescent="0.3"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 spans="7:25" ht="15.75" customHeight="1" x14ac:dyDescent="0.3"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 spans="7:25" ht="15.75" customHeight="1" x14ac:dyDescent="0.3"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 spans="7:25" ht="15.75" customHeight="1" x14ac:dyDescent="0.3"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 spans="7:25" ht="15.75" customHeight="1" x14ac:dyDescent="0.3"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 spans="7:25" ht="15.75" customHeight="1" x14ac:dyDescent="0.3"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 spans="7:25" ht="15.75" customHeight="1" x14ac:dyDescent="0.3"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 spans="7:25" ht="15.75" customHeight="1" x14ac:dyDescent="0.3"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 spans="7:25" ht="15.75" customHeight="1" x14ac:dyDescent="0.3"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 spans="7:25" ht="15.75" customHeight="1" x14ac:dyDescent="0.3"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 spans="7:25" ht="15.75" customHeight="1" x14ac:dyDescent="0.3"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 spans="7:25" ht="15.75" customHeight="1" x14ac:dyDescent="0.3"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 spans="7:25" ht="15.75" customHeight="1" x14ac:dyDescent="0.3"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 spans="7:25" ht="15.75" customHeight="1" x14ac:dyDescent="0.3"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 spans="7:25" ht="15.75" customHeight="1" x14ac:dyDescent="0.3"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 spans="7:25" ht="15.75" customHeight="1" x14ac:dyDescent="0.3"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 spans="7:25" ht="15.75" customHeight="1" x14ac:dyDescent="0.3"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 spans="7:25" ht="15.75" customHeight="1" x14ac:dyDescent="0.3"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 spans="7:25" ht="15.75" customHeight="1" x14ac:dyDescent="0.3"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 spans="7:25" ht="15.75" customHeight="1" x14ac:dyDescent="0.3"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 spans="7:25" ht="15.75" customHeight="1" x14ac:dyDescent="0.3"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 spans="7:25" ht="15.75" customHeight="1" x14ac:dyDescent="0.3"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 spans="7:25" ht="15.75" customHeight="1" x14ac:dyDescent="0.3"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 spans="7:25" ht="15.75" customHeight="1" x14ac:dyDescent="0.3"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 spans="7:25" ht="15.75" customHeight="1" x14ac:dyDescent="0.3"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 spans="7:25" ht="15.75" customHeight="1" x14ac:dyDescent="0.3"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 spans="7:25" ht="15.75" customHeight="1" x14ac:dyDescent="0.3"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 spans="7:25" ht="15.75" customHeight="1" x14ac:dyDescent="0.3"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 spans="7:25" ht="15.75" customHeight="1" x14ac:dyDescent="0.3"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 spans="7:25" ht="15.75" customHeight="1" x14ac:dyDescent="0.3"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 spans="7:25" ht="15.75" customHeight="1" x14ac:dyDescent="0.3"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 spans="7:25" ht="15.75" customHeight="1" x14ac:dyDescent="0.3"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 spans="7:25" ht="15.75" customHeight="1" x14ac:dyDescent="0.3"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 spans="7:25" ht="15.75" customHeight="1" x14ac:dyDescent="0.3"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 spans="7:25" ht="15.75" customHeight="1" x14ac:dyDescent="0.3"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 spans="7:25" ht="15.75" customHeight="1" x14ac:dyDescent="0.3"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 spans="7:25" ht="15.75" customHeight="1" x14ac:dyDescent="0.3"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 spans="7:25" ht="15.75" customHeight="1" x14ac:dyDescent="0.3"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 spans="7:25" ht="15.75" customHeight="1" x14ac:dyDescent="0.3"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 spans="7:25" ht="15.75" customHeight="1" x14ac:dyDescent="0.3"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 spans="7:25" ht="15.75" customHeight="1" x14ac:dyDescent="0.3"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 spans="7:25" ht="15.75" customHeight="1" x14ac:dyDescent="0.3"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 spans="7:25" ht="15.75" customHeight="1" x14ac:dyDescent="0.3"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 spans="7:25" ht="15.75" customHeight="1" x14ac:dyDescent="0.3"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 spans="7:25" ht="15.75" customHeight="1" x14ac:dyDescent="0.3"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 spans="7:25" ht="15.75" customHeight="1" x14ac:dyDescent="0.3"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 spans="7:25" ht="15.75" customHeight="1" x14ac:dyDescent="0.3"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 spans="7:25" ht="15.75" customHeight="1" x14ac:dyDescent="0.3"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 spans="7:25" ht="15.75" customHeight="1" x14ac:dyDescent="0.3"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 spans="7:25" ht="15.75" customHeight="1" x14ac:dyDescent="0.3"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 spans="7:25" ht="15.75" customHeight="1" x14ac:dyDescent="0.3"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 spans="7:25" ht="15.75" customHeight="1" x14ac:dyDescent="0.3"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 spans="7:25" ht="15.75" customHeight="1" x14ac:dyDescent="0.3"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 spans="7:25" ht="15.75" customHeight="1" x14ac:dyDescent="0.3"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 spans="7:25" ht="15.75" customHeight="1" x14ac:dyDescent="0.3"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 spans="7:25" ht="15.75" customHeight="1" x14ac:dyDescent="0.3"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 spans="7:25" ht="15.75" customHeight="1" x14ac:dyDescent="0.3"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 spans="7:25" ht="15.75" customHeight="1" x14ac:dyDescent="0.3"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 spans="7:25" ht="15.75" customHeight="1" x14ac:dyDescent="0.3"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 spans="7:25" ht="15.75" customHeight="1" x14ac:dyDescent="0.3"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 spans="7:25" ht="15.75" customHeight="1" x14ac:dyDescent="0.3"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 spans="7:25" ht="15.75" customHeight="1" x14ac:dyDescent="0.3"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 spans="7:25" ht="15.75" customHeight="1" x14ac:dyDescent="0.3"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 spans="7:25" ht="15.75" customHeight="1" x14ac:dyDescent="0.3"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 spans="7:25" ht="15.75" customHeight="1" x14ac:dyDescent="0.3"/>
    <row r="222" spans="7:25" ht="15.75" customHeight="1" x14ac:dyDescent="0.3"/>
    <row r="223" spans="7:25" ht="15.75" customHeight="1" x14ac:dyDescent="0.3"/>
    <row r="224" spans="7:25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5:F20" xr:uid="{00000000-0009-0000-0000-000003000000}"/>
  <mergeCells count="1">
    <mergeCell ref="A4:F4"/>
  </mergeCells>
  <conditionalFormatting sqref="C6:C20">
    <cfRule type="expression" dxfId="13" priority="2">
      <formula>C6="TEM PERFIL"</formula>
    </cfRule>
    <cfRule type="expression" dxfId="12" priority="3">
      <formula>C6="NÃO TEM PERFIL"</formula>
    </cfRule>
    <cfRule type="expression" dxfId="11" priority="4">
      <formula>C6="AGUARDANDO RETORNO"</formula>
    </cfRule>
  </conditionalFormatting>
  <conditionalFormatting sqref="E6:E20">
    <cfRule type="cellIs" dxfId="10" priority="5" operator="lessThan">
      <formula>0</formula>
    </cfRule>
    <cfRule type="cellIs" dxfId="9" priority="6" operator="between">
      <formula>0</formula>
      <formula>30</formula>
    </cfRule>
    <cfRule type="cellIs" dxfId="8" priority="7" operator="between">
      <formula>31</formula>
      <formula>60</formula>
    </cfRule>
    <cfRule type="cellIs" dxfId="7" priority="8" operator="lessThan">
      <formula>0</formula>
    </cfRule>
    <cfRule type="cellIs" dxfId="6" priority="9" operator="between">
      <formula>0</formula>
      <formula>30</formula>
    </cfRule>
    <cfRule type="cellIs" dxfId="5" priority="10" operator="between">
      <formula>31</formula>
      <formula>60</formula>
    </cfRule>
    <cfRule type="cellIs" dxfId="4" priority="11" operator="greaterThan">
      <formula>60</formula>
    </cfRule>
  </conditionalFormatting>
  <conditionalFormatting sqref="E9:E10">
    <cfRule type="cellIs" dxfId="3" priority="12" operator="lessThan">
      <formula>0</formula>
    </cfRule>
    <cfRule type="cellIs" dxfId="2" priority="13" operator="between">
      <formula>0</formula>
      <formula>30</formula>
    </cfRule>
    <cfRule type="cellIs" dxfId="1" priority="14" operator="between">
      <formula>31</formula>
      <formula>60</formula>
    </cfRule>
    <cfRule type="cellIs" dxfId="0" priority="15" operator="greaterThan">
      <formula>60</formula>
    </cfRule>
  </conditionalFormatting>
  <dataValidations count="1">
    <dataValidation type="list" allowBlank="1" sqref="C6:C20" xr:uid="{00000000-0002-0000-0300-000000000000}">
      <formula1>"TEM PERFIL,AGUARDANDO RETORNO,NÃO TEM PERFIL"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4140625" defaultRowHeight="14.4" x14ac:dyDescent="0.3"/>
  <cols>
    <col min="1" max="26" width="8.6640625" style="10" customWidth="1"/>
  </cols>
  <sheetData>
    <row r="1" spans="1:7" ht="15" customHeight="1" x14ac:dyDescent="0.3">
      <c r="A1" s="10" t="s">
        <v>8</v>
      </c>
      <c r="B1" s="10" t="s">
        <v>203</v>
      </c>
      <c r="C1" s="10" t="s">
        <v>9</v>
      </c>
      <c r="D1" s="10" t="s">
        <v>10</v>
      </c>
      <c r="E1" s="10" t="s">
        <v>16</v>
      </c>
      <c r="F1" s="10" t="s">
        <v>204</v>
      </c>
      <c r="G1" s="10" t="s">
        <v>205</v>
      </c>
    </row>
    <row r="2" spans="1:7" ht="15" customHeight="1" x14ac:dyDescent="0.3">
      <c r="A2" s="10" t="s">
        <v>206</v>
      </c>
      <c r="B2" s="10" t="str">
        <f>VEICULOS!C6</f>
        <v>BRY3E66</v>
      </c>
      <c r="D2" s="10" t="str">
        <f>VEICULOS!D6</f>
        <v>NÃO TEM PERFIL</v>
      </c>
      <c r="E2" s="51">
        <f>VEICULOS!E6</f>
        <v>0</v>
      </c>
      <c r="F2" s="10">
        <f t="shared" ref="F2:F33" ca="1" si="0">IFERROR(IF(ISNUMBER(E2),E2-TODAY(),DATE(VALUE(RIGHT(E2,4)),VALUE(MID(E2,4,2)),VALUE(LEFT(E2,2)))-TODAY()),"—")</f>
        <v>-46269</v>
      </c>
      <c r="G2" s="10">
        <f t="shared" ref="G2:G33" ca="1" si="1">IF(D2="TEM PERFIL",IFERROR(IF(ISNUMBER(E2),E2-TODAY(),DATE(VALUE(RIGHT(E2,4)),VALUE(MID(E2,4,2)),VALUE(LEFT(E2,2)))-TODAY())+ROW()/100000,9999999+ROW()/100000),9999999+ROW()/100000)</f>
        <v>9999999.0000199992</v>
      </c>
    </row>
    <row r="3" spans="1:7" ht="15" customHeight="1" x14ac:dyDescent="0.3">
      <c r="A3" s="10" t="s">
        <v>206</v>
      </c>
      <c r="B3" s="10" t="str">
        <f>VEICULOS!C7</f>
        <v>PXQ8F08</v>
      </c>
      <c r="D3" s="10" t="str">
        <f>VEICULOS!D7</f>
        <v>NÃO TEM PERFIL</v>
      </c>
      <c r="E3" s="51">
        <f>VEICULOS!E7</f>
        <v>0</v>
      </c>
      <c r="F3" s="10">
        <f t="shared" ca="1" si="0"/>
        <v>-46269</v>
      </c>
      <c r="G3" s="10">
        <f t="shared" ca="1" si="1"/>
        <v>9999999.0000299998</v>
      </c>
    </row>
    <row r="4" spans="1:7" ht="15" customHeight="1" x14ac:dyDescent="0.3">
      <c r="A4" s="10" t="s">
        <v>206</v>
      </c>
      <c r="B4" s="10" t="str">
        <f>VEICULOS!C8</f>
        <v>SEM9A77</v>
      </c>
      <c r="D4" s="10" t="str">
        <f>VEICULOS!D8</f>
        <v>NÃO TEM PERFIL</v>
      </c>
      <c r="E4" s="51">
        <f>VEICULOS!E8</f>
        <v>0</v>
      </c>
      <c r="F4" s="10">
        <f t="shared" ca="1" si="0"/>
        <v>-46269</v>
      </c>
      <c r="G4" s="10">
        <f t="shared" ca="1" si="1"/>
        <v>9999999.0000400003</v>
      </c>
    </row>
    <row r="5" spans="1:7" ht="15" customHeight="1" x14ac:dyDescent="0.3">
      <c r="A5" s="10" t="s">
        <v>206</v>
      </c>
      <c r="B5" s="10" t="str">
        <f>VEICULOS!C9</f>
        <v>STR9F35</v>
      </c>
      <c r="D5" s="10" t="str">
        <f>VEICULOS!D9</f>
        <v>NÃO TEM PERFIL</v>
      </c>
      <c r="E5" s="51">
        <f>VEICULOS!E9</f>
        <v>0</v>
      </c>
      <c r="F5" s="10">
        <f t="shared" ca="1" si="0"/>
        <v>-46269</v>
      </c>
      <c r="G5" s="10">
        <f t="shared" ca="1" si="1"/>
        <v>9999999.0000500008</v>
      </c>
    </row>
    <row r="6" spans="1:7" ht="15" customHeight="1" x14ac:dyDescent="0.3">
      <c r="A6" s="10" t="s">
        <v>206</v>
      </c>
      <c r="B6" s="10" t="str">
        <f>VEICULOS!C10</f>
        <v>SWF4H15</v>
      </c>
      <c r="D6" s="10" t="str">
        <f>VEICULOS!D10</f>
        <v>TEM PERFIL</v>
      </c>
      <c r="E6" s="51" t="str">
        <f>VEICULOS!E10</f>
        <v>03/02/2027</v>
      </c>
      <c r="F6" s="10">
        <f t="shared" ca="1" si="0"/>
        <v>152</v>
      </c>
      <c r="G6" s="10">
        <f t="shared" ca="1" si="1"/>
        <v>152.00005999999999</v>
      </c>
    </row>
    <row r="7" spans="1:7" ht="15" customHeight="1" x14ac:dyDescent="0.3">
      <c r="A7" s="10" t="s">
        <v>206</v>
      </c>
      <c r="B7" s="10" t="str">
        <f>VEICULOS!C11</f>
        <v>SWU3H66</v>
      </c>
      <c r="D7" s="10" t="str">
        <f>VEICULOS!D11</f>
        <v>TEM PERFIL</v>
      </c>
      <c r="E7" s="51" t="str">
        <f>VEICULOS!E11</f>
        <v>16/02/2027</v>
      </c>
      <c r="F7" s="10">
        <f t="shared" ca="1" si="0"/>
        <v>165</v>
      </c>
      <c r="G7" s="10">
        <f t="shared" ca="1" si="1"/>
        <v>165.00006999999999</v>
      </c>
    </row>
    <row r="8" spans="1:7" ht="15" customHeight="1" x14ac:dyDescent="0.3">
      <c r="A8" s="10" t="s">
        <v>206</v>
      </c>
      <c r="B8" s="10" t="str">
        <f>VEICULOS!C12</f>
        <v>FUL6A21</v>
      </c>
      <c r="D8" s="10" t="str">
        <f>VEICULOS!D12</f>
        <v>TEM PERFIL</v>
      </c>
      <c r="E8" s="51" t="str">
        <f>VEICULOS!E12</f>
        <v>26/02/2027</v>
      </c>
      <c r="F8" s="10">
        <f t="shared" ca="1" si="0"/>
        <v>175</v>
      </c>
      <c r="G8" s="10">
        <f t="shared" ca="1" si="1"/>
        <v>175.00008</v>
      </c>
    </row>
    <row r="9" spans="1:7" ht="15" customHeight="1" x14ac:dyDescent="0.3">
      <c r="A9" s="10" t="s">
        <v>206</v>
      </c>
      <c r="B9" s="10" t="str">
        <f>VEICULOS!C13</f>
        <v>FXI4A14</v>
      </c>
      <c r="D9" s="10" t="str">
        <f>VEICULOS!D13</f>
        <v>TEM PERFIL</v>
      </c>
      <c r="E9" s="51" t="str">
        <f>VEICULOS!E13</f>
        <v>04/08/2027</v>
      </c>
      <c r="F9" s="10">
        <f t="shared" ca="1" si="0"/>
        <v>334</v>
      </c>
      <c r="G9" s="10">
        <f t="shared" ca="1" si="1"/>
        <v>334.00009</v>
      </c>
    </row>
    <row r="10" spans="1:7" ht="15" customHeight="1" x14ac:dyDescent="0.3">
      <c r="A10" s="10" t="s">
        <v>206</v>
      </c>
      <c r="B10" s="10" t="str">
        <f>VEICULOS!C14</f>
        <v>QSX1J75</v>
      </c>
      <c r="D10" s="10" t="str">
        <f>VEICULOS!D14</f>
        <v>TEM PERFIL</v>
      </c>
      <c r="E10" s="51" t="str">
        <f>VEICULOS!E14</f>
        <v>29/01/2027</v>
      </c>
      <c r="F10" s="10">
        <f t="shared" ca="1" si="0"/>
        <v>147</v>
      </c>
      <c r="G10" s="10">
        <f t="shared" ca="1" si="1"/>
        <v>147.0001</v>
      </c>
    </row>
    <row r="11" spans="1:7" ht="15" customHeight="1" x14ac:dyDescent="0.3">
      <c r="A11" s="10" t="s">
        <v>206</v>
      </c>
      <c r="B11" s="10" t="str">
        <f>VEICULOS!C15</f>
        <v>SVK6F53</v>
      </c>
      <c r="D11" s="10" t="str">
        <f>VEICULOS!D15</f>
        <v>TEM PERFIL</v>
      </c>
      <c r="E11" s="51" t="str">
        <f>VEICULOS!E15</f>
        <v>01/10/2027</v>
      </c>
      <c r="F11" s="10">
        <f t="shared" ca="1" si="0"/>
        <v>392</v>
      </c>
      <c r="G11" s="10">
        <f t="shared" ca="1" si="1"/>
        <v>392.00011000000001</v>
      </c>
    </row>
    <row r="12" spans="1:7" ht="15" customHeight="1" x14ac:dyDescent="0.3">
      <c r="A12" s="10" t="s">
        <v>206</v>
      </c>
      <c r="B12" s="10" t="str">
        <f>VEICULOS!C16</f>
        <v>SWH3H91</v>
      </c>
      <c r="D12" s="10" t="str">
        <f>VEICULOS!D16</f>
        <v>TEM PERFIL</v>
      </c>
      <c r="E12" s="51" t="str">
        <f>VEICULOS!E16</f>
        <v>19/09/2026</v>
      </c>
      <c r="F12" s="10">
        <f t="shared" ca="1" si="0"/>
        <v>15</v>
      </c>
      <c r="G12" s="10">
        <f t="shared" ca="1" si="1"/>
        <v>15.000120000000001</v>
      </c>
    </row>
    <row r="13" spans="1:7" ht="15" customHeight="1" x14ac:dyDescent="0.3">
      <c r="A13" s="10" t="s">
        <v>206</v>
      </c>
      <c r="B13" s="10" t="str">
        <f>VEICULOS!C17</f>
        <v>SWJ0H01</v>
      </c>
      <c r="D13" s="10" t="str">
        <f>VEICULOS!D17</f>
        <v>TEM PERFIL</v>
      </c>
      <c r="E13" s="51" t="str">
        <f>VEICULOS!E17</f>
        <v>04/08/2027</v>
      </c>
      <c r="F13" s="10">
        <f t="shared" ca="1" si="0"/>
        <v>334</v>
      </c>
      <c r="G13" s="10">
        <f t="shared" ca="1" si="1"/>
        <v>334.00013000000001</v>
      </c>
    </row>
    <row r="14" spans="1:7" ht="15" customHeight="1" x14ac:dyDescent="0.3">
      <c r="A14" s="10" t="s">
        <v>206</v>
      </c>
      <c r="B14" s="10" t="str">
        <f>VEICULOS!C18</f>
        <v>TJA6H23</v>
      </c>
      <c r="D14" s="10" t="str">
        <f>VEICULOS!D18</f>
        <v>TEM PERFIL</v>
      </c>
      <c r="E14" s="51" t="str">
        <f>VEICULOS!E18</f>
        <v>01/10/2027</v>
      </c>
      <c r="F14" s="10">
        <f t="shared" ca="1" si="0"/>
        <v>392</v>
      </c>
      <c r="G14" s="10">
        <f t="shared" ca="1" si="1"/>
        <v>392.00013999999999</v>
      </c>
    </row>
    <row r="15" spans="1:7" ht="15" customHeight="1" x14ac:dyDescent="0.3">
      <c r="A15" s="10" t="s">
        <v>206</v>
      </c>
      <c r="B15" s="10" t="str">
        <f>VEICULOS!C19</f>
        <v>MSD2923</v>
      </c>
      <c r="D15" s="10" t="str">
        <f>VEICULOS!D19</f>
        <v>TEM PERFIL</v>
      </c>
      <c r="E15" s="51" t="str">
        <f>VEICULOS!E19</f>
        <v>13/01/2027</v>
      </c>
      <c r="F15" s="10">
        <f t="shared" ca="1" si="0"/>
        <v>131</v>
      </c>
      <c r="G15" s="10">
        <f t="shared" ca="1" si="1"/>
        <v>131.00014999999999</v>
      </c>
    </row>
    <row r="16" spans="1:7" ht="15" customHeight="1" x14ac:dyDescent="0.3">
      <c r="A16" s="10" t="s">
        <v>206</v>
      </c>
      <c r="B16" s="10" t="str">
        <f>VEICULOS!C20</f>
        <v>FQMBH72</v>
      </c>
      <c r="D16" s="10" t="str">
        <f>VEICULOS!D20</f>
        <v>TEM PERFIL</v>
      </c>
      <c r="E16" s="51" t="str">
        <f>VEICULOS!E20</f>
        <v>12/01/2027</v>
      </c>
      <c r="F16" s="10">
        <f t="shared" ca="1" si="0"/>
        <v>130</v>
      </c>
      <c r="G16" s="10">
        <f t="shared" ca="1" si="1"/>
        <v>130.00015999999999</v>
      </c>
    </row>
    <row r="17" spans="1:7" ht="15" customHeight="1" x14ac:dyDescent="0.3">
      <c r="A17" s="10" t="s">
        <v>206</v>
      </c>
      <c r="B17" s="10" t="str">
        <f>VEICULOS!C21</f>
        <v>ORC8G70</v>
      </c>
      <c r="D17" s="10" t="str">
        <f>VEICULOS!D21</f>
        <v>TEM PERFIL</v>
      </c>
      <c r="E17" s="51" t="str">
        <f>VEICULOS!E21</f>
        <v>09/02/2027</v>
      </c>
      <c r="F17" s="10">
        <f t="shared" ca="1" si="0"/>
        <v>158</v>
      </c>
      <c r="G17" s="10">
        <f t="shared" ca="1" si="1"/>
        <v>158.00017</v>
      </c>
    </row>
    <row r="18" spans="1:7" ht="15" customHeight="1" x14ac:dyDescent="0.3">
      <c r="A18" s="10" t="s">
        <v>206</v>
      </c>
      <c r="B18" s="10" t="str">
        <f>VEICULOS!C22</f>
        <v>SWN5C43</v>
      </c>
      <c r="D18" s="10" t="str">
        <f>VEICULOS!D22</f>
        <v>TEM PERFIL</v>
      </c>
      <c r="E18" s="51" t="str">
        <f>VEICULOS!E22</f>
        <v>28/01/2027</v>
      </c>
      <c r="F18" s="10">
        <f t="shared" ca="1" si="0"/>
        <v>146</v>
      </c>
      <c r="G18" s="10">
        <f t="shared" ca="1" si="1"/>
        <v>146.00018</v>
      </c>
    </row>
    <row r="19" spans="1:7" ht="15" customHeight="1" x14ac:dyDescent="0.3">
      <c r="A19" s="10" t="s">
        <v>206</v>
      </c>
      <c r="B19" s="10" t="str">
        <f>VEICULOS!C23</f>
        <v>STU7G01</v>
      </c>
      <c r="D19" s="10" t="str">
        <f>VEICULOS!D23</f>
        <v>TEM PERFIL</v>
      </c>
      <c r="E19" s="51" t="str">
        <f>VEICULOS!E23</f>
        <v>28/01/2027</v>
      </c>
      <c r="F19" s="10">
        <f t="shared" ca="1" si="0"/>
        <v>146</v>
      </c>
      <c r="G19" s="10">
        <f t="shared" ca="1" si="1"/>
        <v>146.00019</v>
      </c>
    </row>
    <row r="20" spans="1:7" ht="15" customHeight="1" x14ac:dyDescent="0.3">
      <c r="A20" s="10" t="s">
        <v>206</v>
      </c>
      <c r="B20" s="10" t="str">
        <f>VEICULOS!C24</f>
        <v>SUJ5G29</v>
      </c>
      <c r="D20" s="10" t="str">
        <f>VEICULOS!D24</f>
        <v>DOCUMENTO VENCIDO</v>
      </c>
      <c r="E20" s="51">
        <f>VEICULOS!E24</f>
        <v>0</v>
      </c>
      <c r="F20" s="10">
        <f t="shared" ca="1" si="0"/>
        <v>-46269</v>
      </c>
      <c r="G20" s="10">
        <f t="shared" ca="1" si="1"/>
        <v>9999999.0001999997</v>
      </c>
    </row>
    <row r="21" spans="1:7" ht="15" customHeight="1" x14ac:dyDescent="0.3">
      <c r="A21" s="10" t="s">
        <v>206</v>
      </c>
      <c r="B21" s="10" t="str">
        <f>VEICULOS!C25</f>
        <v>FPI3H41</v>
      </c>
      <c r="D21" s="10" t="str">
        <f>VEICULOS!D25</f>
        <v>TEM PERFIL</v>
      </c>
      <c r="E21" s="51" t="str">
        <f>VEICULOS!E25</f>
        <v>28/01/2027</v>
      </c>
      <c r="F21" s="10">
        <f t="shared" ca="1" si="0"/>
        <v>146</v>
      </c>
      <c r="G21" s="10">
        <f t="shared" ca="1" si="1"/>
        <v>146.00021000000001</v>
      </c>
    </row>
    <row r="22" spans="1:7" ht="15" customHeight="1" x14ac:dyDescent="0.3">
      <c r="A22" s="10" t="s">
        <v>206</v>
      </c>
      <c r="B22" s="10" t="str">
        <f>VEICULOS!C26</f>
        <v>IYX5I53</v>
      </c>
      <c r="D22" s="10" t="str">
        <f>VEICULOS!D26</f>
        <v>TEM PERFIL</v>
      </c>
      <c r="E22" s="51" t="str">
        <f>VEICULOS!E26</f>
        <v>28/01/2027</v>
      </c>
      <c r="F22" s="10">
        <f t="shared" ca="1" si="0"/>
        <v>146</v>
      </c>
      <c r="G22" s="10">
        <f t="shared" ca="1" si="1"/>
        <v>146.00022000000001</v>
      </c>
    </row>
    <row r="23" spans="1:7" ht="15" customHeight="1" x14ac:dyDescent="0.3">
      <c r="A23" s="10" t="s">
        <v>206</v>
      </c>
      <c r="B23" s="10" t="str">
        <f>VEICULOS!C27</f>
        <v>OVT6J59</v>
      </c>
      <c r="D23" s="10" t="str">
        <f>VEICULOS!D27</f>
        <v>TEM PERFIL</v>
      </c>
      <c r="E23" s="51" t="str">
        <f>VEICULOS!E27</f>
        <v>28/01/2027</v>
      </c>
      <c r="F23" s="10">
        <f t="shared" ca="1" si="0"/>
        <v>146</v>
      </c>
      <c r="G23" s="10">
        <f t="shared" ca="1" si="1"/>
        <v>146.00022999999999</v>
      </c>
    </row>
    <row r="24" spans="1:7" ht="15" customHeight="1" x14ac:dyDescent="0.3">
      <c r="A24" s="10" t="s">
        <v>206</v>
      </c>
      <c r="B24" s="10" t="str">
        <f>VEICULOS!C28</f>
        <v>PPL4B01</v>
      </c>
      <c r="D24" s="10" t="str">
        <f>VEICULOS!D28</f>
        <v>TEM PERFIL</v>
      </c>
      <c r="E24" s="51" t="str">
        <f>VEICULOS!E28</f>
        <v>28/01/2027</v>
      </c>
      <c r="F24" s="10">
        <f t="shared" ca="1" si="0"/>
        <v>146</v>
      </c>
      <c r="G24" s="10">
        <f t="shared" ca="1" si="1"/>
        <v>146.00023999999999</v>
      </c>
    </row>
    <row r="25" spans="1:7" ht="15" customHeight="1" x14ac:dyDescent="0.3">
      <c r="A25" s="10" t="s">
        <v>206</v>
      </c>
      <c r="B25" s="10" t="str">
        <f>VEICULOS!C29</f>
        <v>GDS7F11</v>
      </c>
      <c r="D25" s="10" t="str">
        <f>VEICULOS!D29</f>
        <v>TEM PERFIL</v>
      </c>
      <c r="E25" s="51" t="str">
        <f>VEICULOS!E29</f>
        <v>01/03/2027</v>
      </c>
      <c r="F25" s="10">
        <f t="shared" ca="1" si="0"/>
        <v>178</v>
      </c>
      <c r="G25" s="10">
        <f t="shared" ca="1" si="1"/>
        <v>178.00024999999999</v>
      </c>
    </row>
    <row r="26" spans="1:7" ht="15" customHeight="1" x14ac:dyDescent="0.3">
      <c r="A26" s="10" t="s">
        <v>206</v>
      </c>
      <c r="B26" s="10" t="str">
        <f>VEICULOS!C30</f>
        <v>ECW0E38</v>
      </c>
      <c r="D26" s="10" t="str">
        <f>VEICULOS!D30</f>
        <v>TEM PERFIL</v>
      </c>
      <c r="E26" s="51" t="str">
        <f>VEICULOS!E30</f>
        <v>01/03/2027</v>
      </c>
      <c r="F26" s="10">
        <f t="shared" ca="1" si="0"/>
        <v>178</v>
      </c>
      <c r="G26" s="10">
        <f t="shared" ca="1" si="1"/>
        <v>178.00026</v>
      </c>
    </row>
    <row r="27" spans="1:7" ht="15" customHeight="1" x14ac:dyDescent="0.3">
      <c r="A27" s="10" t="s">
        <v>206</v>
      </c>
      <c r="B27" s="10" t="str">
        <f>VEICULOS!C31</f>
        <v>SWB1D01</v>
      </c>
      <c r="D27" s="10" t="str">
        <f>VEICULOS!D31</f>
        <v>TEM PERFIL</v>
      </c>
      <c r="E27" s="51" t="str">
        <f>VEICULOS!E31</f>
        <v>06/02/2027</v>
      </c>
      <c r="F27" s="10">
        <f t="shared" ca="1" si="0"/>
        <v>155</v>
      </c>
      <c r="G27" s="10">
        <f t="shared" ca="1" si="1"/>
        <v>155.00027</v>
      </c>
    </row>
    <row r="28" spans="1:7" ht="15" customHeight="1" x14ac:dyDescent="0.3">
      <c r="A28" s="10" t="s">
        <v>206</v>
      </c>
      <c r="B28" s="10" t="str">
        <f>VEICULOS!C32</f>
        <v>RNF6A66</v>
      </c>
      <c r="D28" s="10" t="str">
        <f>VEICULOS!D32</f>
        <v>TEM PERFIL</v>
      </c>
      <c r="E28" s="51" t="str">
        <f>VEICULOS!E32</f>
        <v>19/02/2027</v>
      </c>
      <c r="F28" s="10">
        <f t="shared" ca="1" si="0"/>
        <v>168</v>
      </c>
      <c r="G28" s="10">
        <f t="shared" ca="1" si="1"/>
        <v>168.00028</v>
      </c>
    </row>
    <row r="29" spans="1:7" ht="15" customHeight="1" x14ac:dyDescent="0.3">
      <c r="A29" s="10" t="s">
        <v>206</v>
      </c>
      <c r="B29" s="10" t="str">
        <f>VEICULOS!C33</f>
        <v>SVZ9G23</v>
      </c>
      <c r="D29" s="10" t="str">
        <f>VEICULOS!D33</f>
        <v>TEM PERFIL</v>
      </c>
      <c r="E29" s="51" t="str">
        <f>VEICULOS!E33</f>
        <v>19/02/2027</v>
      </c>
      <c r="F29" s="10">
        <f t="shared" ca="1" si="0"/>
        <v>168</v>
      </c>
      <c r="G29" s="10">
        <f t="shared" ca="1" si="1"/>
        <v>168.00029000000001</v>
      </c>
    </row>
    <row r="30" spans="1:7" ht="15" customHeight="1" x14ac:dyDescent="0.3">
      <c r="A30" s="10" t="s">
        <v>206</v>
      </c>
      <c r="B30" s="10">
        <f>VEICULOS!C34</f>
        <v>0</v>
      </c>
      <c r="D30" s="10">
        <f>VEICULOS!D34</f>
        <v>0</v>
      </c>
      <c r="E30" s="51">
        <f>VEICULOS!E34</f>
        <v>0</v>
      </c>
      <c r="F30" s="10">
        <f t="shared" ca="1" si="0"/>
        <v>-46269</v>
      </c>
      <c r="G30" s="10">
        <f t="shared" ca="1" si="1"/>
        <v>9999999.0002999995</v>
      </c>
    </row>
    <row r="31" spans="1:7" ht="15" customHeight="1" x14ac:dyDescent="0.3">
      <c r="A31" s="10" t="s">
        <v>206</v>
      </c>
      <c r="B31" s="10">
        <f>VEICULOS!C35</f>
        <v>0</v>
      </c>
      <c r="D31" s="10">
        <f>VEICULOS!D35</f>
        <v>0</v>
      </c>
      <c r="E31" s="51">
        <f>VEICULOS!E35</f>
        <v>0</v>
      </c>
      <c r="F31" s="10">
        <f t="shared" ca="1" si="0"/>
        <v>-46269</v>
      </c>
      <c r="G31" s="10">
        <f t="shared" ca="1" si="1"/>
        <v>9999999.00031</v>
      </c>
    </row>
    <row r="32" spans="1:7" ht="15" customHeight="1" x14ac:dyDescent="0.3">
      <c r="A32" s="10" t="s">
        <v>207</v>
      </c>
      <c r="B32" s="10" t="e">
        <f>CONDUTORES!#REF!</f>
        <v>#REF!</v>
      </c>
      <c r="C32" s="10" t="str">
        <f>CONDUTORES!D6</f>
        <v>ADONIS DA SILVA OLIVEIRA</v>
      </c>
      <c r="D32" s="10" t="str">
        <f>CONDUTORES!E6</f>
        <v>NÃO TEM PERFIL</v>
      </c>
      <c r="E32" s="51">
        <f>CONDUTORES!F6</f>
        <v>0</v>
      </c>
      <c r="F32" s="10">
        <f t="shared" ca="1" si="0"/>
        <v>-46269</v>
      </c>
      <c r="G32" s="10">
        <f t="shared" ca="1" si="1"/>
        <v>9999999.0003200006</v>
      </c>
    </row>
    <row r="33" spans="1:7" ht="15" customHeight="1" x14ac:dyDescent="0.3">
      <c r="A33" s="10" t="s">
        <v>207</v>
      </c>
      <c r="B33" s="10" t="e">
        <f>CONDUTORES!#REF!</f>
        <v>#REF!</v>
      </c>
      <c r="C33" s="10" t="str">
        <f>CONDUTORES!D7</f>
        <v>AILTON DA SILVA FERREIRA</v>
      </c>
      <c r="D33" s="10" t="str">
        <f>CONDUTORES!E7</f>
        <v>TEM PERFIL</v>
      </c>
      <c r="E33" s="51">
        <f>CONDUTORES!F7</f>
        <v>46406</v>
      </c>
      <c r="F33" s="10">
        <f t="shared" ca="1" si="0"/>
        <v>137</v>
      </c>
      <c r="G33" s="10">
        <f t="shared" ca="1" si="1"/>
        <v>137.00032999999999</v>
      </c>
    </row>
    <row r="34" spans="1:7" ht="15" customHeight="1" x14ac:dyDescent="0.3">
      <c r="A34" s="10" t="s">
        <v>207</v>
      </c>
      <c r="B34" s="10" t="e">
        <f>CONDUTORES!#REF!</f>
        <v>#REF!</v>
      </c>
      <c r="C34" s="10" t="str">
        <f>CONDUTORES!D8</f>
        <v>ALEXSANDRO SANTOS ARAUJO</v>
      </c>
      <c r="D34" s="10" t="str">
        <f>CONDUTORES!E8</f>
        <v>TEM PERFIL</v>
      </c>
      <c r="E34" s="51" t="str">
        <f>CONDUTORES!F8</f>
        <v>04/03/2027</v>
      </c>
      <c r="F34" s="10">
        <f t="shared" ref="F34:F65" ca="1" si="2">IFERROR(IF(ISNUMBER(E34),E34-TODAY(),DATE(VALUE(RIGHT(E34,4)),VALUE(MID(E34,4,2)),VALUE(LEFT(E34,2)))-TODAY()),"—")</f>
        <v>181</v>
      </c>
      <c r="G34" s="10">
        <f t="shared" ref="G34:G65" ca="1" si="3">IF(D34="TEM PERFIL",IFERROR(IF(ISNUMBER(E34),E34-TODAY(),DATE(VALUE(RIGHT(E34,4)),VALUE(MID(E34,4,2)),VALUE(LEFT(E34,2)))-TODAY())+ROW()/100000,9999999+ROW()/100000),9999999+ROW()/100000)</f>
        <v>181.00033999999999</v>
      </c>
    </row>
    <row r="35" spans="1:7" ht="15" customHeight="1" x14ac:dyDescent="0.3">
      <c r="A35" s="10" t="s">
        <v>207</v>
      </c>
      <c r="B35" s="10" t="e">
        <f>CONDUTORES!#REF!</f>
        <v>#REF!</v>
      </c>
      <c r="C35" s="10" t="str">
        <f>CONDUTORES!D9</f>
        <v>ANTONIO CARLOS DOS SANTOS XAVIER</v>
      </c>
      <c r="D35" s="10" t="str">
        <f>CONDUTORES!E9</f>
        <v>TEM PERFIL</v>
      </c>
      <c r="E35" s="51" t="str">
        <f>CONDUTORES!F9</f>
        <v>14/01/2027</v>
      </c>
      <c r="F35" s="10">
        <f t="shared" ca="1" si="2"/>
        <v>132</v>
      </c>
      <c r="G35" s="10">
        <f t="shared" ca="1" si="3"/>
        <v>132.00035</v>
      </c>
    </row>
    <row r="36" spans="1:7" ht="15" customHeight="1" x14ac:dyDescent="0.3">
      <c r="A36" s="10" t="s">
        <v>207</v>
      </c>
      <c r="B36" s="10" t="e">
        <f>CONDUTORES!#REF!</f>
        <v>#REF!</v>
      </c>
      <c r="C36" s="10" t="str">
        <f>CONDUTORES!D10</f>
        <v>BRAYNO AFONSECA DA SILVA</v>
      </c>
      <c r="D36" s="10" t="str">
        <f>CONDUTORES!E10</f>
        <v>TEM PERFIL</v>
      </c>
      <c r="E36" s="51" t="str">
        <f>CONDUTORES!F10</f>
        <v>04/03/2027</v>
      </c>
      <c r="F36" s="10">
        <f t="shared" ca="1" si="2"/>
        <v>181</v>
      </c>
      <c r="G36" s="10">
        <f t="shared" ca="1" si="3"/>
        <v>181.00036</v>
      </c>
    </row>
    <row r="37" spans="1:7" ht="15" customHeight="1" x14ac:dyDescent="0.3">
      <c r="A37" s="10" t="s">
        <v>207</v>
      </c>
      <c r="B37" s="10" t="e">
        <f>CONDUTORES!#REF!</f>
        <v>#REF!</v>
      </c>
      <c r="C37" s="10" t="str">
        <f>CONDUTORES!D11</f>
        <v>BRENNER FONSECA DO SERRO</v>
      </c>
      <c r="D37" s="10" t="str">
        <f>CONDUTORES!E11</f>
        <v>TEM PERFIL</v>
      </c>
      <c r="E37" s="51" t="str">
        <f>CONDUTORES!F11</f>
        <v>17/12/2026</v>
      </c>
      <c r="F37" s="10">
        <f t="shared" ca="1" si="2"/>
        <v>104</v>
      </c>
      <c r="G37" s="10">
        <f t="shared" ca="1" si="3"/>
        <v>104.00037</v>
      </c>
    </row>
    <row r="38" spans="1:7" ht="15" customHeight="1" x14ac:dyDescent="0.3">
      <c r="A38" s="10" t="s">
        <v>207</v>
      </c>
      <c r="B38" s="10" t="e">
        <f>CONDUTORES!#REF!</f>
        <v>#REF!</v>
      </c>
      <c r="C38" s="10" t="str">
        <f>CONDUTORES!D12</f>
        <v>BRUNO GONCALVES EVANGELISTA</v>
      </c>
      <c r="D38" s="10" t="str">
        <f>CONDUTORES!E12</f>
        <v>TEM PERFIL</v>
      </c>
      <c r="E38" s="51" t="str">
        <f>CONDUTORES!F12</f>
        <v>16/12/2026</v>
      </c>
      <c r="F38" s="10">
        <f t="shared" ca="1" si="2"/>
        <v>103</v>
      </c>
      <c r="G38" s="10">
        <f t="shared" ca="1" si="3"/>
        <v>103.00038000000001</v>
      </c>
    </row>
    <row r="39" spans="1:7" ht="15" customHeight="1" x14ac:dyDescent="0.3">
      <c r="A39" s="10" t="s">
        <v>207</v>
      </c>
      <c r="B39" s="10" t="e">
        <f>CONDUTORES!#REF!</f>
        <v>#REF!</v>
      </c>
      <c r="C39" s="10" t="str">
        <f>CONDUTORES!D13</f>
        <v>CARLOS AUGUSTO DE CARVALHO JUNIOR</v>
      </c>
      <c r="D39" s="10" t="str">
        <f>CONDUTORES!E13</f>
        <v>TEM PERFIL</v>
      </c>
      <c r="E39" s="51" t="str">
        <f>CONDUTORES!F13</f>
        <v>29/12/2026</v>
      </c>
      <c r="F39" s="10">
        <f t="shared" ca="1" si="2"/>
        <v>116</v>
      </c>
      <c r="G39" s="10">
        <f t="shared" ca="1" si="3"/>
        <v>116.00039</v>
      </c>
    </row>
    <row r="40" spans="1:7" ht="15" customHeight="1" x14ac:dyDescent="0.3">
      <c r="A40" s="10" t="s">
        <v>207</v>
      </c>
      <c r="B40" s="10" t="e">
        <f>CONDUTORES!#REF!</f>
        <v>#REF!</v>
      </c>
      <c r="C40" s="10" t="str">
        <f>CONDUTORES!D14</f>
        <v>CASSIO SILVA DE JESUS</v>
      </c>
      <c r="D40" s="10" t="str">
        <f>CONDUTORES!E14</f>
        <v>TEM PERFIL</v>
      </c>
      <c r="E40" s="51" t="str">
        <f>CONDUTORES!F14</f>
        <v>05/01/2027</v>
      </c>
      <c r="F40" s="10">
        <f t="shared" ca="1" si="2"/>
        <v>123</v>
      </c>
      <c r="G40" s="10">
        <f t="shared" ca="1" si="3"/>
        <v>123.0004</v>
      </c>
    </row>
    <row r="41" spans="1:7" ht="15" customHeight="1" x14ac:dyDescent="0.3">
      <c r="A41" s="10" t="s">
        <v>207</v>
      </c>
      <c r="B41" s="10" t="e">
        <f>CONDUTORES!#REF!</f>
        <v>#REF!</v>
      </c>
      <c r="C41" s="10" t="str">
        <f>CONDUTORES!D15</f>
        <v>DIEGO PEREIRA ALEXANDRE</v>
      </c>
      <c r="D41" s="10" t="str">
        <f>CONDUTORES!E15</f>
        <v>TEM PERFIL</v>
      </c>
      <c r="E41" s="51" t="str">
        <f>CONDUTORES!F15</f>
        <v>04/03/2027</v>
      </c>
      <c r="F41" s="10">
        <f t="shared" ca="1" si="2"/>
        <v>181</v>
      </c>
      <c r="G41" s="10">
        <f t="shared" ca="1" si="3"/>
        <v>181.00040999999999</v>
      </c>
    </row>
    <row r="42" spans="1:7" ht="15" customHeight="1" x14ac:dyDescent="0.3">
      <c r="A42" s="10" t="s">
        <v>207</v>
      </c>
      <c r="B42" s="10" t="e">
        <f>CONDUTORES!#REF!</f>
        <v>#REF!</v>
      </c>
      <c r="C42" s="10" t="str">
        <f>CONDUTORES!D16</f>
        <v>FABIANO CORREIA DA SILVA</v>
      </c>
      <c r="D42" s="10" t="str">
        <f>CONDUTORES!E16</f>
        <v>TEM PERFIL</v>
      </c>
      <c r="E42" s="51" t="str">
        <f>CONDUTORES!F16</f>
        <v>13/04/2027</v>
      </c>
      <c r="F42" s="10">
        <f t="shared" ca="1" si="2"/>
        <v>221</v>
      </c>
      <c r="G42" s="10">
        <f t="shared" ca="1" si="3"/>
        <v>221.00041999999999</v>
      </c>
    </row>
    <row r="43" spans="1:7" ht="15" customHeight="1" x14ac:dyDescent="0.3">
      <c r="A43" s="10" t="s">
        <v>207</v>
      </c>
      <c r="B43" s="10" t="e">
        <f>CONDUTORES!#REF!</f>
        <v>#REF!</v>
      </c>
      <c r="C43" s="10" t="str">
        <f>CONDUTORES!D17</f>
        <v>FABIANO GOMES DOS SANTOS</v>
      </c>
      <c r="D43" s="10" t="str">
        <f>CONDUTORES!E17</f>
        <v>TEM PERFIL</v>
      </c>
      <c r="E43" s="51" t="str">
        <f>CONDUTORES!F17</f>
        <v>02/01/2027</v>
      </c>
      <c r="F43" s="10">
        <f t="shared" ca="1" si="2"/>
        <v>120</v>
      </c>
      <c r="G43" s="10">
        <f t="shared" ca="1" si="3"/>
        <v>120.00042999999999</v>
      </c>
    </row>
    <row r="44" spans="1:7" ht="15" customHeight="1" x14ac:dyDescent="0.3">
      <c r="A44" s="10" t="s">
        <v>207</v>
      </c>
      <c r="B44" s="10" t="e">
        <f>CONDUTORES!#REF!</f>
        <v>#REF!</v>
      </c>
      <c r="C44" s="10" t="str">
        <f>CONDUTORES!D18</f>
        <v>FERNANDO FELIX CYPRESTE</v>
      </c>
      <c r="D44" s="10" t="str">
        <f>CONDUTORES!E18</f>
        <v>TEM PERFIL</v>
      </c>
      <c r="E44" s="51" t="str">
        <f>CONDUTORES!F18</f>
        <v>04/03/2027</v>
      </c>
      <c r="F44" s="10">
        <f t="shared" ca="1" si="2"/>
        <v>181</v>
      </c>
      <c r="G44" s="10">
        <f t="shared" ca="1" si="3"/>
        <v>181.00044</v>
      </c>
    </row>
    <row r="45" spans="1:7" ht="15" customHeight="1" x14ac:dyDescent="0.3">
      <c r="A45" s="10" t="s">
        <v>207</v>
      </c>
      <c r="B45" s="10" t="e">
        <f>CONDUTORES!#REF!</f>
        <v>#REF!</v>
      </c>
      <c r="C45" s="10" t="str">
        <f>CONDUTORES!D19</f>
        <v>GABRIEL DE FREITAS MIRANDA SILVA</v>
      </c>
      <c r="D45" s="10" t="str">
        <f>CONDUTORES!E19</f>
        <v>TEM PERFIL</v>
      </c>
      <c r="E45" s="51" t="str">
        <f>CONDUTORES!F19</f>
        <v>29/01/2027</v>
      </c>
      <c r="F45" s="10">
        <f t="shared" ca="1" si="2"/>
        <v>147</v>
      </c>
      <c r="G45" s="10">
        <f t="shared" ca="1" si="3"/>
        <v>147.00045</v>
      </c>
    </row>
    <row r="46" spans="1:7" ht="15" customHeight="1" x14ac:dyDescent="0.3">
      <c r="A46" s="10" t="s">
        <v>207</v>
      </c>
      <c r="B46" s="10" t="e">
        <f>CONDUTORES!#REF!</f>
        <v>#REF!</v>
      </c>
      <c r="C46" s="10" t="str">
        <f>CONDUTORES!D20</f>
        <v>HEBER AUGUSTO BARBOSA DE SOUZA</v>
      </c>
      <c r="D46" s="10" t="str">
        <f>CONDUTORES!E20</f>
        <v>TEM PERFIL</v>
      </c>
      <c r="E46" s="52">
        <f>CONDUTORES!F20</f>
        <v>46336</v>
      </c>
      <c r="F46" s="10">
        <f t="shared" ca="1" si="2"/>
        <v>67</v>
      </c>
      <c r="G46" s="10">
        <f t="shared" ca="1" si="3"/>
        <v>67.000460000000004</v>
      </c>
    </row>
    <row r="47" spans="1:7" ht="15" customHeight="1" x14ac:dyDescent="0.3">
      <c r="A47" s="10" t="s">
        <v>207</v>
      </c>
      <c r="B47" s="10" t="e">
        <f>CONDUTORES!#REF!</f>
        <v>#REF!</v>
      </c>
      <c r="C47" s="10" t="str">
        <f>CONDUTORES!D21</f>
        <v>IGOR GOMES BENTO</v>
      </c>
      <c r="D47" s="10" t="str">
        <f>CONDUTORES!E21</f>
        <v>TEM PERFIL</v>
      </c>
      <c r="E47" s="51" t="str">
        <f>CONDUTORES!F21</f>
        <v>11/08/2026</v>
      </c>
      <c r="F47" s="10">
        <f t="shared" ca="1" si="2"/>
        <v>-24</v>
      </c>
      <c r="G47" s="10">
        <f t="shared" ca="1" si="3"/>
        <v>-23.99953</v>
      </c>
    </row>
    <row r="48" spans="1:7" ht="15" customHeight="1" x14ac:dyDescent="0.3">
      <c r="A48" s="10" t="s">
        <v>207</v>
      </c>
      <c r="B48" s="10" t="e">
        <f>CONDUTORES!#REF!</f>
        <v>#REF!</v>
      </c>
      <c r="C48" s="10" t="str">
        <f>CONDUTORES!D22</f>
        <v>JORGE LUIZ DA SILVA PINTO</v>
      </c>
      <c r="D48" s="10" t="str">
        <f>CONDUTORES!E22</f>
        <v>NÃO TEM PERFIL</v>
      </c>
      <c r="E48" s="51">
        <f>CONDUTORES!F22</f>
        <v>0</v>
      </c>
      <c r="F48" s="10">
        <f t="shared" ca="1" si="2"/>
        <v>-46269</v>
      </c>
      <c r="G48" s="10">
        <f t="shared" ca="1" si="3"/>
        <v>9999999.0004799999</v>
      </c>
    </row>
    <row r="49" spans="1:7" ht="15" customHeight="1" x14ac:dyDescent="0.3">
      <c r="A49" s="10" t="s">
        <v>207</v>
      </c>
      <c r="B49" s="10" t="e">
        <f>CONDUTORES!#REF!</f>
        <v>#REF!</v>
      </c>
      <c r="C49" s="10" t="str">
        <f>CONDUTORES!D23</f>
        <v>JORGE LUIZ DOS SANTOS</v>
      </c>
      <c r="D49" s="10" t="str">
        <f>CONDUTORES!E23</f>
        <v>DADOS DIVERGENTES</v>
      </c>
      <c r="E49" s="51">
        <f>CONDUTORES!F23</f>
        <v>0</v>
      </c>
      <c r="F49" s="10">
        <f t="shared" ca="1" si="2"/>
        <v>-46269</v>
      </c>
      <c r="G49" s="10">
        <f t="shared" ca="1" si="3"/>
        <v>9999999.0004900005</v>
      </c>
    </row>
    <row r="50" spans="1:7" ht="15" customHeight="1" x14ac:dyDescent="0.3">
      <c r="A50" s="10" t="s">
        <v>207</v>
      </c>
      <c r="B50" s="10" t="e">
        <f>CONDUTORES!#REF!</f>
        <v>#REF!</v>
      </c>
      <c r="C50" s="10" t="str">
        <f>CONDUTORES!D24</f>
        <v>JOSÉ ROBERTO DA SILVA</v>
      </c>
      <c r="D50" s="10" t="str">
        <f>CONDUTORES!E24</f>
        <v>TEM PERFIL</v>
      </c>
      <c r="E50" s="51" t="str">
        <f>CONDUTORES!F24</f>
        <v>28/01/2027</v>
      </c>
      <c r="F50" s="10">
        <f t="shared" ca="1" si="2"/>
        <v>146</v>
      </c>
      <c r="G50" s="10">
        <f t="shared" ca="1" si="3"/>
        <v>146.00049999999999</v>
      </c>
    </row>
    <row r="51" spans="1:7" ht="15" customHeight="1" x14ac:dyDescent="0.3">
      <c r="A51" s="10" t="s">
        <v>207</v>
      </c>
      <c r="B51" s="10" t="e">
        <f>CONDUTORES!#REF!</f>
        <v>#REF!</v>
      </c>
      <c r="C51" s="10" t="str">
        <f>CONDUTORES!D25</f>
        <v>LUCAS ALBERTO REIS</v>
      </c>
      <c r="D51" s="10" t="str">
        <f>CONDUTORES!E25</f>
        <v>NÃO TEM PERFIL</v>
      </c>
      <c r="E51" s="51">
        <f>CONDUTORES!F25</f>
        <v>0</v>
      </c>
      <c r="F51" s="10">
        <f t="shared" ca="1" si="2"/>
        <v>-46269</v>
      </c>
      <c r="G51" s="10">
        <f t="shared" ca="1" si="3"/>
        <v>9999999.0005099997</v>
      </c>
    </row>
    <row r="52" spans="1:7" ht="15" customHeight="1" x14ac:dyDescent="0.3">
      <c r="A52" s="10" t="s">
        <v>207</v>
      </c>
      <c r="B52" s="10" t="e">
        <f>CONDUTORES!#REF!</f>
        <v>#REF!</v>
      </c>
      <c r="C52" s="10" t="str">
        <f>CONDUTORES!D26</f>
        <v>LUIZ HENRIQUE ASSIS DA SILVA</v>
      </c>
      <c r="D52" s="10" t="str">
        <f>CONDUTORES!E26</f>
        <v>NÃO TEM PERFIL</v>
      </c>
      <c r="E52" s="51">
        <f>CONDUTORES!F26</f>
        <v>0</v>
      </c>
      <c r="F52" s="10">
        <f t="shared" ca="1" si="2"/>
        <v>-46269</v>
      </c>
      <c r="G52" s="10">
        <f t="shared" ca="1" si="3"/>
        <v>9999999.0005200002</v>
      </c>
    </row>
    <row r="53" spans="1:7" ht="15" customHeight="1" x14ac:dyDescent="0.3">
      <c r="A53" s="10" t="s">
        <v>207</v>
      </c>
      <c r="B53" s="10" t="e">
        <f>CONDUTORES!#REF!</f>
        <v>#REF!</v>
      </c>
      <c r="C53" s="10" t="str">
        <f>CONDUTORES!D27</f>
        <v>MAICON DOS SANTOS ALVES</v>
      </c>
      <c r="D53" s="10" t="str">
        <f>CONDUTORES!E27</f>
        <v>TEM PERFIL</v>
      </c>
      <c r="E53" s="51" t="str">
        <f>CONDUTORES!F27</f>
        <v>12/01/2027</v>
      </c>
      <c r="F53" s="10">
        <f t="shared" ca="1" si="2"/>
        <v>130</v>
      </c>
      <c r="G53" s="10">
        <f t="shared" ca="1" si="3"/>
        <v>130.00053</v>
      </c>
    </row>
    <row r="54" spans="1:7" ht="15" customHeight="1" x14ac:dyDescent="0.3">
      <c r="A54" s="10" t="s">
        <v>207</v>
      </c>
      <c r="B54" s="10" t="e">
        <f>CONDUTORES!#REF!</f>
        <v>#REF!</v>
      </c>
      <c r="C54" s="10" t="str">
        <f>CONDUTORES!D28</f>
        <v>MARCELO OLIVEIRA DOS SANTOS</v>
      </c>
      <c r="D54" s="10" t="str">
        <f>CONDUTORES!E28</f>
        <v>TEM PERFIL</v>
      </c>
      <c r="E54" s="51" t="str">
        <f>CONDUTORES!F28</f>
        <v>04/04/2027</v>
      </c>
      <c r="F54" s="10">
        <f t="shared" ca="1" si="2"/>
        <v>212</v>
      </c>
      <c r="G54" s="10">
        <f t="shared" ca="1" si="3"/>
        <v>212.00054</v>
      </c>
    </row>
    <row r="55" spans="1:7" ht="15" customHeight="1" x14ac:dyDescent="0.3">
      <c r="A55" s="10" t="s">
        <v>207</v>
      </c>
      <c r="B55" s="10" t="e">
        <f>CONDUTORES!#REF!</f>
        <v>#REF!</v>
      </c>
      <c r="C55" s="10" t="str">
        <f>CONDUTORES!D29</f>
        <v>MARCIO EDUARDO DE LIMA ALVES</v>
      </c>
      <c r="D55" s="10" t="str">
        <f>CONDUTORES!E29</f>
        <v>TEM PERFIL</v>
      </c>
      <c r="E55" s="51" t="str">
        <f>CONDUTORES!F29</f>
        <v>16/12/2026</v>
      </c>
      <c r="F55" s="10">
        <f t="shared" ca="1" si="2"/>
        <v>103</v>
      </c>
      <c r="G55" s="10">
        <f t="shared" ca="1" si="3"/>
        <v>103.00055</v>
      </c>
    </row>
    <row r="56" spans="1:7" ht="15" customHeight="1" x14ac:dyDescent="0.3">
      <c r="A56" s="10" t="s">
        <v>207</v>
      </c>
      <c r="B56" s="10" t="e">
        <f>CONDUTORES!#REF!</f>
        <v>#REF!</v>
      </c>
      <c r="C56" s="10" t="str">
        <f>CONDUTORES!D30</f>
        <v>MIKE MENDES DOS SANTOS RODRIGUES</v>
      </c>
      <c r="D56" s="10" t="str">
        <f>CONDUTORES!E30</f>
        <v>TEM PERFIL</v>
      </c>
      <c r="E56" s="51" t="str">
        <f>CONDUTORES!F30</f>
        <v>05/01/2027</v>
      </c>
      <c r="F56" s="10">
        <f t="shared" ca="1" si="2"/>
        <v>123</v>
      </c>
      <c r="G56" s="10">
        <f t="shared" ca="1" si="3"/>
        <v>123.00055999999999</v>
      </c>
    </row>
    <row r="57" spans="1:7" ht="15" customHeight="1" x14ac:dyDescent="0.3">
      <c r="A57" s="10" t="s">
        <v>207</v>
      </c>
      <c r="B57" s="10" t="e">
        <f>CONDUTORES!#REF!</f>
        <v>#REF!</v>
      </c>
      <c r="C57" s="10" t="str">
        <f>CONDUTORES!D31</f>
        <v>OSCAR JOSE RODRIGUES FERREIRA</v>
      </c>
      <c r="D57" s="10" t="str">
        <f>CONDUTORES!E31</f>
        <v>TEM PERFIL</v>
      </c>
      <c r="E57" s="51" t="str">
        <f>CONDUTORES!F31</f>
        <v>12/01/2027</v>
      </c>
      <c r="F57" s="10">
        <f t="shared" ca="1" si="2"/>
        <v>130</v>
      </c>
      <c r="G57" s="10">
        <f t="shared" ca="1" si="3"/>
        <v>130.00057000000001</v>
      </c>
    </row>
    <row r="58" spans="1:7" ht="15" customHeight="1" x14ac:dyDescent="0.3">
      <c r="A58" s="10" t="s">
        <v>207</v>
      </c>
      <c r="B58" s="10" t="e">
        <f>CONDUTORES!#REF!</f>
        <v>#REF!</v>
      </c>
      <c r="C58" s="10" t="str">
        <f>CONDUTORES!D32</f>
        <v>PATRICK PASCHOAL PALHANO</v>
      </c>
      <c r="D58" s="10" t="str">
        <f>CONDUTORES!E32</f>
        <v>NÃO TEM PERFIL</v>
      </c>
      <c r="E58" s="51">
        <f>CONDUTORES!F32</f>
        <v>0</v>
      </c>
      <c r="F58" s="10">
        <f t="shared" ca="1" si="2"/>
        <v>-46269</v>
      </c>
      <c r="G58" s="10">
        <f t="shared" ca="1" si="3"/>
        <v>9999999.0005799998</v>
      </c>
    </row>
    <row r="59" spans="1:7" ht="15" customHeight="1" x14ac:dyDescent="0.3">
      <c r="A59" s="10" t="s">
        <v>207</v>
      </c>
      <c r="B59" s="10" t="e">
        <f>CONDUTORES!#REF!</f>
        <v>#REF!</v>
      </c>
      <c r="C59" s="10" t="str">
        <f>CONDUTORES!D33</f>
        <v>PAULO RICARDO DE OLIVEIRA SILVA</v>
      </c>
      <c r="D59" s="10" t="str">
        <f>CONDUTORES!E33</f>
        <v>TEM PERFIL</v>
      </c>
      <c r="E59" s="51" t="str">
        <f>CONDUTORES!F33</f>
        <v>18/08/2027</v>
      </c>
      <c r="F59" s="10">
        <f t="shared" ca="1" si="2"/>
        <v>348</v>
      </c>
      <c r="G59" s="10">
        <f t="shared" ca="1" si="3"/>
        <v>348.00058999999999</v>
      </c>
    </row>
    <row r="60" spans="1:7" ht="15" customHeight="1" x14ac:dyDescent="0.3">
      <c r="A60" s="10" t="s">
        <v>207</v>
      </c>
      <c r="B60" s="10" t="e">
        <f>CONDUTORES!#REF!</f>
        <v>#REF!</v>
      </c>
      <c r="C60" s="10" t="str">
        <f>CONDUTORES!D34</f>
        <v>PEDRO SOUZA FILHO</v>
      </c>
      <c r="D60" s="10" t="str">
        <f>CONDUTORES!E34</f>
        <v>TEM PERFIL</v>
      </c>
      <c r="E60" s="51" t="str">
        <f>CONDUTORES!F34</f>
        <v>16/12/2026</v>
      </c>
      <c r="F60" s="10">
        <f t="shared" ca="1" si="2"/>
        <v>103</v>
      </c>
      <c r="G60" s="10">
        <f t="shared" ca="1" si="3"/>
        <v>103.00060000000001</v>
      </c>
    </row>
    <row r="61" spans="1:7" ht="15" customHeight="1" x14ac:dyDescent="0.3">
      <c r="A61" s="10" t="s">
        <v>207</v>
      </c>
      <c r="B61" s="10" t="e">
        <f>CONDUTORES!#REF!</f>
        <v>#REF!</v>
      </c>
      <c r="C61" s="10" t="str">
        <f>CONDUTORES!D35</f>
        <v>PHILIPPE GERMANO MAGALHAES DE SOUZA</v>
      </c>
      <c r="D61" s="10" t="str">
        <f>CONDUTORES!E35</f>
        <v>TEM PERFIL</v>
      </c>
      <c r="E61" s="51" t="str">
        <f>CONDUTORES!F35</f>
        <v>16/12/2026</v>
      </c>
      <c r="F61" s="10">
        <f t="shared" ca="1" si="2"/>
        <v>103</v>
      </c>
      <c r="G61" s="10">
        <f t="shared" ca="1" si="3"/>
        <v>103.00060999999999</v>
      </c>
    </row>
    <row r="62" spans="1:7" ht="15" customHeight="1" x14ac:dyDescent="0.3">
      <c r="A62" s="10" t="s">
        <v>207</v>
      </c>
      <c r="B62" s="10" t="e">
        <f>CONDUTORES!#REF!</f>
        <v>#REF!</v>
      </c>
      <c r="C62" s="10" t="str">
        <f>CONDUTORES!D36</f>
        <v>RODNEY DIONIZIO DOS SANTOS MELO</v>
      </c>
      <c r="D62" s="10" t="str">
        <f>CONDUTORES!E36</f>
        <v>NÃO TEM PERFIL</v>
      </c>
      <c r="E62" s="51">
        <f>CONDUTORES!F36</f>
        <v>0</v>
      </c>
      <c r="F62" s="10">
        <f t="shared" ca="1" si="2"/>
        <v>-46269</v>
      </c>
      <c r="G62" s="10">
        <f t="shared" ca="1" si="3"/>
        <v>9999999.0006200001</v>
      </c>
    </row>
    <row r="63" spans="1:7" ht="15" customHeight="1" x14ac:dyDescent="0.3">
      <c r="A63" s="10" t="s">
        <v>207</v>
      </c>
      <c r="B63" s="10" t="e">
        <f>CONDUTORES!#REF!</f>
        <v>#REF!</v>
      </c>
      <c r="C63" s="10" t="str">
        <f>CONDUTORES!D37</f>
        <v>STANLEY JUNIO LIMA NOVAIS</v>
      </c>
      <c r="D63" s="10" t="str">
        <f>CONDUTORES!E37</f>
        <v>TEM PERFIL</v>
      </c>
      <c r="E63" s="51" t="str">
        <f>CONDUTORES!F37</f>
        <v>19/10/2026</v>
      </c>
      <c r="F63" s="10">
        <f t="shared" ca="1" si="2"/>
        <v>45</v>
      </c>
      <c r="G63" s="10">
        <f t="shared" ca="1" si="3"/>
        <v>45.000630000000001</v>
      </c>
    </row>
    <row r="64" spans="1:7" ht="15" customHeight="1" x14ac:dyDescent="0.3">
      <c r="A64" s="10" t="s">
        <v>207</v>
      </c>
      <c r="B64" s="10" t="e">
        <f>CONDUTORES!#REF!</f>
        <v>#REF!</v>
      </c>
      <c r="C64" s="10" t="str">
        <f>CONDUTORES!D38</f>
        <v>THIAGO CESAR DA SILVA SOARES</v>
      </c>
      <c r="D64" s="10" t="str">
        <f>CONDUTORES!E38</f>
        <v>TEM PERFIL</v>
      </c>
      <c r="E64" s="51" t="str">
        <f>CONDUTORES!F38</f>
        <v>17/02/2027</v>
      </c>
      <c r="F64" s="10">
        <f t="shared" ca="1" si="2"/>
        <v>166</v>
      </c>
      <c r="G64" s="10">
        <f t="shared" ca="1" si="3"/>
        <v>166.00064</v>
      </c>
    </row>
    <row r="65" spans="1:7" ht="15" customHeight="1" x14ac:dyDescent="0.3">
      <c r="A65" s="10" t="s">
        <v>207</v>
      </c>
      <c r="B65" s="10" t="e">
        <f>CONDUTORES!#REF!</f>
        <v>#REF!</v>
      </c>
      <c r="C65" s="10" t="str">
        <f>CONDUTORES!D39</f>
        <v>THIAGO HERCULANO DE CARVALHO MAGALHAES</v>
      </c>
      <c r="D65" s="10" t="str">
        <f>CONDUTORES!E39</f>
        <v>TEM PERFIL</v>
      </c>
      <c r="E65" s="51" t="str">
        <f>CONDUTORES!F39</f>
        <v>10/09/2026</v>
      </c>
      <c r="F65" s="10">
        <f t="shared" ca="1" si="2"/>
        <v>6</v>
      </c>
      <c r="G65" s="10">
        <f t="shared" ca="1" si="3"/>
        <v>6.0006500000000003</v>
      </c>
    </row>
    <row r="66" spans="1:7" ht="15" customHeight="1" x14ac:dyDescent="0.3">
      <c r="A66" s="10" t="s">
        <v>207</v>
      </c>
      <c r="B66" s="10" t="e">
        <f>CONDUTORES!#REF!</f>
        <v>#REF!</v>
      </c>
      <c r="C66" s="10" t="str">
        <f>CONDUTORES!D40</f>
        <v>UDIRLEI BATISTA COSTA</v>
      </c>
      <c r="D66" s="10" t="str">
        <f>CONDUTORES!E40</f>
        <v>NÃO TEM PERFIL</v>
      </c>
      <c r="E66" s="51">
        <f>CONDUTORES!F40</f>
        <v>0</v>
      </c>
      <c r="F66" s="10">
        <f t="shared" ref="F66:F97" ca="1" si="4">IFERROR(IF(ISNUMBER(E66),E66-TODAY(),DATE(VALUE(RIGHT(E66,4)),VALUE(MID(E66,4,2)),VALUE(LEFT(E66,2)))-TODAY()),"—")</f>
        <v>-46269</v>
      </c>
      <c r="G66" s="10">
        <f t="shared" ref="G66:G97" ca="1" si="5">IF(D66="TEM PERFIL",IFERROR(IF(ISNUMBER(E66),E66-TODAY(),DATE(VALUE(RIGHT(E66,4)),VALUE(MID(E66,4,2)),VALUE(LEFT(E66,2)))-TODAY())+ROW()/100000,9999999+ROW()/100000),9999999+ROW()/100000)</f>
        <v>9999999.0006600004</v>
      </c>
    </row>
    <row r="67" spans="1:7" ht="15" customHeight="1" x14ac:dyDescent="0.3">
      <c r="A67" s="10" t="s">
        <v>207</v>
      </c>
      <c r="B67" s="10" t="e">
        <f>CONDUTORES!#REF!</f>
        <v>#REF!</v>
      </c>
      <c r="C67" s="10" t="str">
        <f>CONDUTORES!D41</f>
        <v>VALDO SANTOS DA SILVA</v>
      </c>
      <c r="D67" s="10" t="str">
        <f>CONDUTORES!E41</f>
        <v>TEM PERFIL</v>
      </c>
      <c r="E67" s="51" t="str">
        <f>CONDUTORES!F41</f>
        <v>29/07/2026</v>
      </c>
      <c r="F67" s="10">
        <f t="shared" ca="1" si="4"/>
        <v>-37</v>
      </c>
      <c r="G67" s="10">
        <f t="shared" ca="1" si="5"/>
        <v>-36.99933</v>
      </c>
    </row>
    <row r="68" spans="1:7" ht="15" customHeight="1" x14ac:dyDescent="0.3">
      <c r="A68" s="10" t="s">
        <v>207</v>
      </c>
      <c r="B68" s="10" t="e">
        <f>CONDUTORES!#REF!</f>
        <v>#REF!</v>
      </c>
      <c r="C68" s="10" t="str">
        <f>CONDUTORES!D42</f>
        <v>WAGNER VAZ DA SILVA</v>
      </c>
      <c r="D68" s="10" t="str">
        <f>CONDUTORES!E42</f>
        <v>NÃO TEM PERFIL</v>
      </c>
      <c r="E68" s="51">
        <f>CONDUTORES!F42</f>
        <v>0</v>
      </c>
      <c r="F68" s="10">
        <f t="shared" ca="1" si="4"/>
        <v>-46269</v>
      </c>
      <c r="G68" s="10">
        <f t="shared" ca="1" si="5"/>
        <v>9999999.0006799996</v>
      </c>
    </row>
    <row r="69" spans="1:7" ht="15" customHeight="1" x14ac:dyDescent="0.3">
      <c r="A69" s="10" t="s">
        <v>207</v>
      </c>
      <c r="B69" s="10" t="e">
        <f>CONDUTORES!#REF!</f>
        <v>#REF!</v>
      </c>
      <c r="C69" s="10" t="str">
        <f>CONDUTORES!D43</f>
        <v>WALLAS ARAUJO MOTA</v>
      </c>
      <c r="D69" s="10" t="str">
        <f>CONDUTORES!E43</f>
        <v>TEM PERFIL</v>
      </c>
      <c r="E69" s="51" t="str">
        <f>CONDUTORES!F43</f>
        <v>19/10/2026</v>
      </c>
      <c r="F69" s="10">
        <f t="shared" ca="1" si="4"/>
        <v>45</v>
      </c>
      <c r="G69" s="10">
        <f t="shared" ca="1" si="5"/>
        <v>45.000689999999999</v>
      </c>
    </row>
    <row r="70" spans="1:7" ht="15" customHeight="1" x14ac:dyDescent="0.3">
      <c r="A70" s="10" t="s">
        <v>207</v>
      </c>
      <c r="B70" s="10" t="e">
        <f>CONDUTORES!#REF!</f>
        <v>#REF!</v>
      </c>
      <c r="C70" s="10" t="str">
        <f>CONDUTORES!D44</f>
        <v>WESLEY BARTUCCIOTTO RODRIGUES</v>
      </c>
      <c r="D70" s="10" t="str">
        <f>CONDUTORES!E44</f>
        <v>TEM PERFIL</v>
      </c>
      <c r="E70" s="51" t="str">
        <f>CONDUTORES!F44</f>
        <v>26/02/2027</v>
      </c>
      <c r="F70" s="10">
        <f t="shared" ca="1" si="4"/>
        <v>175</v>
      </c>
      <c r="G70" s="10">
        <f t="shared" ca="1" si="5"/>
        <v>175.00069999999999</v>
      </c>
    </row>
    <row r="71" spans="1:7" ht="15" customHeight="1" x14ac:dyDescent="0.3">
      <c r="A71" s="10" t="s">
        <v>207</v>
      </c>
      <c r="B71" s="10" t="e">
        <f>CONDUTORES!#REF!</f>
        <v>#REF!</v>
      </c>
      <c r="C71" s="10" t="str">
        <f>CONDUTORES!D45</f>
        <v>WILSON BRUNO ALVES SOUZA</v>
      </c>
      <c r="D71" s="10" t="str">
        <f>CONDUTORES!E45</f>
        <v>DOCUMENTO VENCIDO</v>
      </c>
      <c r="E71" s="51">
        <f>CONDUTORES!F45</f>
        <v>0</v>
      </c>
      <c r="F71" s="10">
        <f t="shared" ca="1" si="4"/>
        <v>-46269</v>
      </c>
      <c r="G71" s="10">
        <f t="shared" ca="1" si="5"/>
        <v>9999999.0007099994</v>
      </c>
    </row>
    <row r="72" spans="1:7" ht="15" customHeight="1" x14ac:dyDescent="0.3">
      <c r="A72" s="10" t="s">
        <v>207</v>
      </c>
      <c r="B72" s="10" t="e">
        <f>CONDUTORES!#REF!</f>
        <v>#REF!</v>
      </c>
      <c r="C72" s="10" t="str">
        <f>CONDUTORES!D46</f>
        <v>ADILSON DA SILVA MEIRELLES JUNIOR</v>
      </c>
      <c r="D72" s="10" t="str">
        <f>CONDUTORES!E46</f>
        <v>TEM PERFIL</v>
      </c>
      <c r="E72" s="51" t="str">
        <f>CONDUTORES!F46</f>
        <v>13/01/2027</v>
      </c>
      <c r="F72" s="10">
        <f t="shared" ca="1" si="4"/>
        <v>131</v>
      </c>
      <c r="G72" s="10">
        <f t="shared" ca="1" si="5"/>
        <v>131.00072</v>
      </c>
    </row>
    <row r="73" spans="1:7" ht="15" customHeight="1" x14ac:dyDescent="0.3">
      <c r="A73" s="10" t="s">
        <v>207</v>
      </c>
      <c r="B73" s="10" t="e">
        <f>CONDUTORES!#REF!</f>
        <v>#REF!</v>
      </c>
      <c r="C73" s="10" t="str">
        <f>CONDUTORES!D47</f>
        <v>EVANERIO FONTES LUZ</v>
      </c>
      <c r="D73" s="10" t="str">
        <f>CONDUTORES!E47</f>
        <v>TEM PERFIL</v>
      </c>
      <c r="E73" s="51" t="str">
        <f>CONDUTORES!F47</f>
        <v>28/01/2027</v>
      </c>
      <c r="F73" s="10">
        <f t="shared" ca="1" si="4"/>
        <v>146</v>
      </c>
      <c r="G73" s="10">
        <f t="shared" ca="1" si="5"/>
        <v>146.00073</v>
      </c>
    </row>
    <row r="74" spans="1:7" ht="15" customHeight="1" x14ac:dyDescent="0.3">
      <c r="A74" s="10" t="s">
        <v>207</v>
      </c>
      <c r="B74" s="10" t="e">
        <f>CONDUTORES!#REF!</f>
        <v>#REF!</v>
      </c>
      <c r="C74" s="10" t="str">
        <f>CONDUTORES!D48</f>
        <v>MARCOS PAULO CARVALHO DE OLIVEIRA</v>
      </c>
      <c r="D74" s="10" t="str">
        <f>CONDUTORES!E48</f>
        <v>TEM PERFIL</v>
      </c>
      <c r="E74" s="51" t="str">
        <f>CONDUTORES!F48</f>
        <v>13/01/2027</v>
      </c>
      <c r="F74" s="10">
        <f t="shared" ca="1" si="4"/>
        <v>131</v>
      </c>
      <c r="G74" s="10">
        <f t="shared" ca="1" si="5"/>
        <v>131.00074000000001</v>
      </c>
    </row>
    <row r="75" spans="1:7" ht="15" customHeight="1" x14ac:dyDescent="0.3">
      <c r="A75" s="10" t="s">
        <v>207</v>
      </c>
      <c r="B75" s="10" t="e">
        <f>CONDUTORES!#REF!</f>
        <v>#REF!</v>
      </c>
      <c r="C75" s="10" t="str">
        <f>CONDUTORES!D49</f>
        <v>MARCIO ANTONIO DA SILVA</v>
      </c>
      <c r="D75" s="10" t="str">
        <f>CONDUTORES!E49</f>
        <v>TEM PERFIL</v>
      </c>
      <c r="E75" s="51" t="str">
        <f>CONDUTORES!F49</f>
        <v>13/01/2027</v>
      </c>
      <c r="F75" s="10">
        <f t="shared" ca="1" si="4"/>
        <v>131</v>
      </c>
      <c r="G75" s="10">
        <f t="shared" ca="1" si="5"/>
        <v>131.00075000000001</v>
      </c>
    </row>
    <row r="76" spans="1:7" ht="15" customHeight="1" x14ac:dyDescent="0.3">
      <c r="A76" s="10" t="s">
        <v>207</v>
      </c>
      <c r="B76" s="10" t="e">
        <f>CONDUTORES!#REF!</f>
        <v>#REF!</v>
      </c>
      <c r="C76" s="10" t="str">
        <f>CONDUTORES!D50</f>
        <v>RAPHAEL MACHADO DA SILVA</v>
      </c>
      <c r="D76" s="10" t="str">
        <f>CONDUTORES!E50</f>
        <v>TEM PERFIL</v>
      </c>
      <c r="E76" s="51" t="str">
        <f>CONDUTORES!F50</f>
        <v>13/01/2027</v>
      </c>
      <c r="F76" s="10">
        <f t="shared" ca="1" si="4"/>
        <v>131</v>
      </c>
      <c r="G76" s="10">
        <f t="shared" ca="1" si="5"/>
        <v>131.00076000000001</v>
      </c>
    </row>
    <row r="77" spans="1:7" ht="15" customHeight="1" x14ac:dyDescent="0.3">
      <c r="A77" s="10" t="s">
        <v>207</v>
      </c>
      <c r="B77" s="10" t="e">
        <f>CONDUTORES!#REF!</f>
        <v>#REF!</v>
      </c>
      <c r="C77" s="10" t="str">
        <f>CONDUTORES!D51</f>
        <v>LUIS CARLOS NOUSO</v>
      </c>
      <c r="D77" s="10" t="str">
        <f>CONDUTORES!E51</f>
        <v>TEM PERFIL</v>
      </c>
      <c r="E77" s="51" t="str">
        <f>CONDUTORES!F51</f>
        <v>09/01/2027</v>
      </c>
      <c r="F77" s="10">
        <f t="shared" ca="1" si="4"/>
        <v>127</v>
      </c>
      <c r="G77" s="10">
        <f t="shared" ca="1" si="5"/>
        <v>127.00077</v>
      </c>
    </row>
    <row r="78" spans="1:7" ht="15" customHeight="1" x14ac:dyDescent="0.3">
      <c r="A78" s="10" t="s">
        <v>207</v>
      </c>
      <c r="B78" s="10" t="e">
        <f>CONDUTORES!#REF!</f>
        <v>#REF!</v>
      </c>
      <c r="C78" s="10" t="str">
        <f>CONDUTORES!D52</f>
        <v>ANDERSON DA CONCEIÇAO SIQUEIRA</v>
      </c>
      <c r="D78" s="10" t="str">
        <f>CONDUTORES!E52</f>
        <v>TEM PERFIL</v>
      </c>
      <c r="E78" s="51" t="str">
        <f>CONDUTORES!F52</f>
        <v>09/01/2027</v>
      </c>
      <c r="F78" s="10">
        <f t="shared" ca="1" si="4"/>
        <v>127</v>
      </c>
      <c r="G78" s="10">
        <f t="shared" ca="1" si="5"/>
        <v>127.00078000000001</v>
      </c>
    </row>
    <row r="79" spans="1:7" ht="15" customHeight="1" x14ac:dyDescent="0.3">
      <c r="A79" s="10" t="s">
        <v>207</v>
      </c>
      <c r="B79" s="10" t="e">
        <f>CONDUTORES!#REF!</f>
        <v>#REF!</v>
      </c>
      <c r="C79" s="10" t="str">
        <f>CONDUTORES!D53</f>
        <v>MARLLON BRANDON AZEVEDO</v>
      </c>
      <c r="D79" s="10" t="str">
        <f>CONDUTORES!E53</f>
        <v>TEM PERFIL</v>
      </c>
      <c r="E79" s="51">
        <f>CONDUTORES!F53</f>
        <v>46393</v>
      </c>
      <c r="F79" s="10">
        <f t="shared" ca="1" si="4"/>
        <v>124</v>
      </c>
      <c r="G79" s="10">
        <f t="shared" ca="1" si="5"/>
        <v>124.00078999999999</v>
      </c>
    </row>
    <row r="80" spans="1:7" ht="15" customHeight="1" x14ac:dyDescent="0.3">
      <c r="A80" s="10" t="s">
        <v>207</v>
      </c>
      <c r="B80" s="10" t="e">
        <f>CONDUTORES!#REF!</f>
        <v>#REF!</v>
      </c>
      <c r="C80" s="10" t="str">
        <f>CONDUTORES!D54</f>
        <v>TIAGO DA SILVA SALGADO</v>
      </c>
      <c r="D80" s="10" t="str">
        <f>CONDUTORES!E54</f>
        <v>TEM PERFIL</v>
      </c>
      <c r="E80" s="51" t="str">
        <f>CONDUTORES!F54</f>
        <v>13/01/2027</v>
      </c>
      <c r="F80" s="10">
        <f t="shared" ca="1" si="4"/>
        <v>131</v>
      </c>
      <c r="G80" s="10">
        <f t="shared" ca="1" si="5"/>
        <v>131.0008</v>
      </c>
    </row>
    <row r="81" spans="1:7" ht="15" customHeight="1" x14ac:dyDescent="0.3">
      <c r="A81" s="10" t="s">
        <v>207</v>
      </c>
      <c r="B81" s="10" t="e">
        <f>CONDUTORES!#REF!</f>
        <v>#REF!</v>
      </c>
      <c r="C81" s="10" t="str">
        <f>CONDUTORES!D55</f>
        <v>LUCAS RANGEL SAMUEL</v>
      </c>
      <c r="D81" s="10" t="str">
        <f>CONDUTORES!E55</f>
        <v>TEM PERFIL</v>
      </c>
      <c r="E81" s="51" t="str">
        <f>CONDUTORES!F55</f>
        <v>13/01/2027</v>
      </c>
      <c r="F81" s="10">
        <f t="shared" ca="1" si="4"/>
        <v>131</v>
      </c>
      <c r="G81" s="10">
        <f t="shared" ca="1" si="5"/>
        <v>131.00081</v>
      </c>
    </row>
    <row r="82" spans="1:7" ht="15" customHeight="1" x14ac:dyDescent="0.3">
      <c r="A82" s="10" t="s">
        <v>207</v>
      </c>
      <c r="B82" s="10" t="e">
        <f>CONDUTORES!#REF!</f>
        <v>#REF!</v>
      </c>
      <c r="C82" s="10" t="str">
        <f>CONDUTORES!D56</f>
        <v>ELMIRO GALDINO DE MELLO</v>
      </c>
      <c r="D82" s="10" t="str">
        <f>CONDUTORES!E56</f>
        <v>NÃO TEM PERFIL</v>
      </c>
      <c r="E82" s="51">
        <f>CONDUTORES!F56</f>
        <v>0</v>
      </c>
      <c r="F82" s="10">
        <f t="shared" ca="1" si="4"/>
        <v>-46269</v>
      </c>
      <c r="G82" s="10">
        <f t="shared" ca="1" si="5"/>
        <v>9999999.0008199997</v>
      </c>
    </row>
    <row r="83" spans="1:7" ht="15" customHeight="1" x14ac:dyDescent="0.3">
      <c r="A83" s="10" t="s">
        <v>207</v>
      </c>
      <c r="B83" s="10" t="e">
        <f>CONDUTORES!#REF!</f>
        <v>#REF!</v>
      </c>
      <c r="C83" s="10" t="str">
        <f>CONDUTORES!D57</f>
        <v>EVANILDO MANOEL DE FARIAS</v>
      </c>
      <c r="D83" s="10" t="str">
        <f>CONDUTORES!E57</f>
        <v>TEM PERFIL</v>
      </c>
      <c r="E83" s="51" t="str">
        <f>CONDUTORES!F57</f>
        <v>28/01/2027</v>
      </c>
      <c r="F83" s="10">
        <f t="shared" ca="1" si="4"/>
        <v>146</v>
      </c>
      <c r="G83" s="10">
        <f t="shared" ca="1" si="5"/>
        <v>146.00083000000001</v>
      </c>
    </row>
    <row r="84" spans="1:7" ht="15" customHeight="1" x14ac:dyDescent="0.3">
      <c r="A84" s="10" t="s">
        <v>207</v>
      </c>
      <c r="B84" s="10" t="e">
        <f>CONDUTORES!#REF!</f>
        <v>#REF!</v>
      </c>
      <c r="C84" s="10" t="str">
        <f>CONDUTORES!D58</f>
        <v>WILLIAN GONCALVES VIEIRA</v>
      </c>
      <c r="D84" s="10" t="str">
        <f>CONDUTORES!E58</f>
        <v>NÃO TEM PERFIL</v>
      </c>
      <c r="E84" s="51">
        <f>CONDUTORES!F58</f>
        <v>0</v>
      </c>
      <c r="F84" s="10">
        <f t="shared" ca="1" si="4"/>
        <v>-46269</v>
      </c>
      <c r="G84" s="10">
        <f t="shared" ca="1" si="5"/>
        <v>9999999.0008400008</v>
      </c>
    </row>
    <row r="85" spans="1:7" ht="15" customHeight="1" x14ac:dyDescent="0.3">
      <c r="A85" s="10" t="s">
        <v>207</v>
      </c>
      <c r="B85" s="10" t="e">
        <f>CONDUTORES!#REF!</f>
        <v>#REF!</v>
      </c>
      <c r="C85" s="10" t="str">
        <f>CONDUTORES!D59</f>
        <v>ALEX HOMERO DA SILVA</v>
      </c>
      <c r="D85" s="10" t="str">
        <f>CONDUTORES!E59</f>
        <v>TEM PERFIL</v>
      </c>
      <c r="E85" s="51" t="str">
        <f>CONDUTORES!F59</f>
        <v>13/01/2027</v>
      </c>
      <c r="F85" s="10">
        <f t="shared" ca="1" si="4"/>
        <v>131</v>
      </c>
      <c r="G85" s="10">
        <f t="shared" ca="1" si="5"/>
        <v>131.00085000000001</v>
      </c>
    </row>
    <row r="86" spans="1:7" ht="15" customHeight="1" x14ac:dyDescent="0.3">
      <c r="A86" s="10" t="s">
        <v>207</v>
      </c>
      <c r="B86" s="10" t="e">
        <f>CONDUTORES!#REF!</f>
        <v>#REF!</v>
      </c>
      <c r="C86" s="10" t="str">
        <f>CONDUTORES!D60</f>
        <v>CARLOS HENRIQUE DE OLIVEIRA REIS</v>
      </c>
      <c r="D86" s="10" t="str">
        <f>CONDUTORES!E60</f>
        <v>TEM PERFIL</v>
      </c>
      <c r="E86" s="51" t="str">
        <f>CONDUTORES!F60</f>
        <v>09/01/2027</v>
      </c>
      <c r="F86" s="10">
        <f t="shared" ca="1" si="4"/>
        <v>127</v>
      </c>
      <c r="G86" s="10">
        <f t="shared" ca="1" si="5"/>
        <v>127.00086</v>
      </c>
    </row>
    <row r="87" spans="1:7" ht="15" customHeight="1" x14ac:dyDescent="0.3">
      <c r="A87" s="10" t="s">
        <v>207</v>
      </c>
      <c r="B87" s="10" t="e">
        <f>CONDUTORES!#REF!</f>
        <v>#REF!</v>
      </c>
      <c r="C87" s="10" t="str">
        <f>CONDUTORES!D61</f>
        <v>FRANKLIN DE AZEVEDO RIBEIRO</v>
      </c>
      <c r="D87" s="10" t="str">
        <f>CONDUTORES!E61</f>
        <v>TEM PERFIL</v>
      </c>
      <c r="E87" s="51" t="str">
        <f>CONDUTORES!F61</f>
        <v>15/01/2027</v>
      </c>
      <c r="F87" s="10">
        <f t="shared" ca="1" si="4"/>
        <v>133</v>
      </c>
      <c r="G87" s="10">
        <f t="shared" ca="1" si="5"/>
        <v>133.00086999999999</v>
      </c>
    </row>
    <row r="88" spans="1:7" ht="15" customHeight="1" x14ac:dyDescent="0.3">
      <c r="A88" s="10" t="s">
        <v>207</v>
      </c>
      <c r="B88" s="10" t="e">
        <f>CONDUTORES!#REF!</f>
        <v>#REF!</v>
      </c>
      <c r="C88" s="10" t="str">
        <f>CONDUTORES!D62</f>
        <v>JORGE LUIZ SANTOS DA SILVA</v>
      </c>
      <c r="D88" s="10" t="str">
        <f>CONDUTORES!E62</f>
        <v>AGUARDANDO RETORNO</v>
      </c>
      <c r="E88" s="51">
        <f>CONDUTORES!F62</f>
        <v>0</v>
      </c>
      <c r="F88" s="10">
        <f t="shared" ca="1" si="4"/>
        <v>-46269</v>
      </c>
      <c r="G88" s="10">
        <f t="shared" ca="1" si="5"/>
        <v>9999999.0008799993</v>
      </c>
    </row>
    <row r="89" spans="1:7" ht="15" customHeight="1" x14ac:dyDescent="0.3">
      <c r="A89" s="10" t="s">
        <v>207</v>
      </c>
      <c r="B89" s="10" t="e">
        <f>CONDUTORES!#REF!</f>
        <v>#REF!</v>
      </c>
      <c r="C89" s="10" t="str">
        <f>CONDUTORES!D63</f>
        <v>MANOEL MESSIAS SANTANA DA SILVA</v>
      </c>
      <c r="D89" s="10" t="str">
        <f>CONDUTORES!E63</f>
        <v>TEM PERFIL</v>
      </c>
      <c r="E89" s="51" t="str">
        <f>CONDUTORES!F63</f>
        <v>15/01/2027</v>
      </c>
      <c r="F89" s="10">
        <f t="shared" ca="1" si="4"/>
        <v>133</v>
      </c>
      <c r="G89" s="10">
        <f t="shared" ca="1" si="5"/>
        <v>133.00089</v>
      </c>
    </row>
    <row r="90" spans="1:7" ht="15" customHeight="1" x14ac:dyDescent="0.3">
      <c r="A90" s="10" t="s">
        <v>207</v>
      </c>
      <c r="B90" s="10" t="e">
        <f>CONDUTORES!#REF!</f>
        <v>#REF!</v>
      </c>
      <c r="C90" s="10" t="str">
        <f>CONDUTORES!D64</f>
        <v>ALEX GUSTAVO ALVES RODRIGUES</v>
      </c>
      <c r="D90" s="10" t="str">
        <f>CONDUTORES!E64</f>
        <v>DADOS DIVERGENTES</v>
      </c>
      <c r="E90" s="51">
        <f>CONDUTORES!F64</f>
        <v>0</v>
      </c>
      <c r="F90" s="10">
        <f t="shared" ca="1" si="4"/>
        <v>-46269</v>
      </c>
      <c r="G90" s="10">
        <f t="shared" ca="1" si="5"/>
        <v>9999999.0009000003</v>
      </c>
    </row>
    <row r="91" spans="1:7" ht="15" customHeight="1" x14ac:dyDescent="0.3">
      <c r="A91" s="10" t="s">
        <v>207</v>
      </c>
      <c r="B91" s="10" t="e">
        <f>CONDUTORES!#REF!</f>
        <v>#REF!</v>
      </c>
      <c r="C91" s="10" t="str">
        <f>CONDUTORES!D65</f>
        <v>VICTOR GOMES CATTA PRETA</v>
      </c>
      <c r="D91" s="10" t="str">
        <f>CONDUTORES!E65</f>
        <v>TEM PERFIL</v>
      </c>
      <c r="E91" s="51" t="str">
        <f>CONDUTORES!F65</f>
        <v>15/01/2027</v>
      </c>
      <c r="F91" s="10">
        <f t="shared" ca="1" si="4"/>
        <v>133</v>
      </c>
      <c r="G91" s="10">
        <f t="shared" ca="1" si="5"/>
        <v>133.00091</v>
      </c>
    </row>
    <row r="92" spans="1:7" ht="15" customHeight="1" x14ac:dyDescent="0.3">
      <c r="A92" s="10" t="s">
        <v>207</v>
      </c>
      <c r="B92" s="10" t="e">
        <f>CONDUTORES!#REF!</f>
        <v>#REF!</v>
      </c>
      <c r="C92" s="10" t="str">
        <f>CONDUTORES!D66</f>
        <v>GLEDSON PEREIRA FRANCISCO</v>
      </c>
      <c r="D92" s="10" t="str">
        <f>CONDUTORES!E66</f>
        <v>TEM PERFIL</v>
      </c>
      <c r="E92" s="10" t="str">
        <f>CONDUTORES!F66</f>
        <v>14/01/2027</v>
      </c>
      <c r="F92" s="10">
        <f t="shared" ca="1" si="4"/>
        <v>132</v>
      </c>
      <c r="G92" s="10">
        <f t="shared" ca="1" si="5"/>
        <v>132.00092000000001</v>
      </c>
    </row>
    <row r="93" spans="1:7" ht="15" customHeight="1" x14ac:dyDescent="0.3">
      <c r="A93" s="10" t="s">
        <v>207</v>
      </c>
      <c r="B93" s="10" t="e">
        <f>CONDUTORES!#REF!</f>
        <v>#REF!</v>
      </c>
      <c r="C93" s="10" t="str">
        <f>CONDUTORES!D67</f>
        <v>AUGUSTO CESAR DA APARECIDA</v>
      </c>
      <c r="D93" s="10" t="str">
        <f>CONDUTORES!E67</f>
        <v>TEM PERFIL</v>
      </c>
      <c r="E93" s="10" t="str">
        <f>CONDUTORES!F67</f>
        <v>14/01/2027</v>
      </c>
      <c r="F93" s="10">
        <f t="shared" ca="1" si="4"/>
        <v>132</v>
      </c>
      <c r="G93" s="10">
        <f t="shared" ca="1" si="5"/>
        <v>132.00093000000001</v>
      </c>
    </row>
    <row r="94" spans="1:7" ht="15" customHeight="1" x14ac:dyDescent="0.3">
      <c r="A94" s="10" t="s">
        <v>207</v>
      </c>
      <c r="B94" s="10" t="e">
        <f>CONDUTORES!#REF!</f>
        <v>#REF!</v>
      </c>
      <c r="C94" s="10" t="str">
        <f>CONDUTORES!D68</f>
        <v>WELTON BATISTA RIBEIRO</v>
      </c>
      <c r="D94" s="10" t="str">
        <f>CONDUTORES!E68</f>
        <v>NÃO TEM PERFIL</v>
      </c>
      <c r="E94" s="10">
        <f>CONDUTORES!F68</f>
        <v>0</v>
      </c>
      <c r="F94" s="10">
        <f t="shared" ca="1" si="4"/>
        <v>-46269</v>
      </c>
      <c r="G94" s="10">
        <f t="shared" ca="1" si="5"/>
        <v>9999999.0009400006</v>
      </c>
    </row>
    <row r="95" spans="1:7" ht="15" customHeight="1" x14ac:dyDescent="0.3">
      <c r="A95" s="10" t="s">
        <v>207</v>
      </c>
      <c r="B95" s="10" t="e">
        <f>CONDUTORES!#REF!</f>
        <v>#REF!</v>
      </c>
      <c r="C95" s="10" t="str">
        <f>CONDUTORES!D69</f>
        <v>CLEVERTON DOS SANTOS</v>
      </c>
      <c r="D95" s="10" t="str">
        <f>CONDUTORES!E69</f>
        <v>TEM PERFIL</v>
      </c>
      <c r="E95" s="53">
        <f>CONDUTORES!F69</f>
        <v>46406</v>
      </c>
      <c r="F95" s="10">
        <f t="shared" ca="1" si="4"/>
        <v>137</v>
      </c>
      <c r="G95" s="10">
        <f t="shared" ca="1" si="5"/>
        <v>137.00094999999999</v>
      </c>
    </row>
    <row r="96" spans="1:7" ht="15" customHeight="1" x14ac:dyDescent="0.3">
      <c r="A96" s="10" t="s">
        <v>207</v>
      </c>
      <c r="B96" s="10" t="e">
        <f>CONDUTORES!#REF!</f>
        <v>#REF!</v>
      </c>
      <c r="C96" s="10" t="str">
        <f>CONDUTORES!D70</f>
        <v>WESLEY DOS SANTOS SOUZA</v>
      </c>
      <c r="D96" s="10" t="str">
        <f>CONDUTORES!E70</f>
        <v>TEM PERFIL</v>
      </c>
      <c r="E96" s="54">
        <f>CONDUTORES!F70</f>
        <v>46406</v>
      </c>
      <c r="F96" s="10">
        <f t="shared" ca="1" si="4"/>
        <v>137</v>
      </c>
      <c r="G96" s="10">
        <f t="shared" ca="1" si="5"/>
        <v>137.00095999999999</v>
      </c>
    </row>
    <row r="97" spans="1:7" ht="15" customHeight="1" x14ac:dyDescent="0.3">
      <c r="A97" s="10" t="s">
        <v>207</v>
      </c>
      <c r="B97" s="10" t="e">
        <f>CONDUTORES!#REF!</f>
        <v>#REF!</v>
      </c>
      <c r="C97" s="10" t="str">
        <f>CONDUTORES!D71</f>
        <v>GLEIDSON CALIXTO DO SANTOS</v>
      </c>
      <c r="D97" s="10" t="str">
        <f>CONDUTORES!E71</f>
        <v>TEM PERFIL</v>
      </c>
      <c r="E97" s="54">
        <f>CONDUTORES!F71</f>
        <v>46406</v>
      </c>
      <c r="F97" s="10">
        <f t="shared" ca="1" si="4"/>
        <v>137</v>
      </c>
      <c r="G97" s="10">
        <f t="shared" ca="1" si="5"/>
        <v>137.00097</v>
      </c>
    </row>
    <row r="98" spans="1:7" ht="15" customHeight="1" x14ac:dyDescent="0.3">
      <c r="A98" s="10" t="s">
        <v>207</v>
      </c>
      <c r="B98" s="10" t="e">
        <f>CONDUTORES!#REF!</f>
        <v>#REF!</v>
      </c>
      <c r="C98" s="10" t="str">
        <f>CONDUTORES!D72</f>
        <v>LIOBINO XAVIER SOUSA</v>
      </c>
      <c r="D98" s="10" t="str">
        <f>CONDUTORES!E72</f>
        <v>TEM PERFIL</v>
      </c>
      <c r="E98" s="54" t="str">
        <f>CONDUTORES!F72</f>
        <v>18/02/2027</v>
      </c>
      <c r="F98" s="10">
        <f t="shared" ref="F98:F129" ca="1" si="6">IFERROR(IF(ISNUMBER(E98),E98-TODAY(),DATE(VALUE(RIGHT(E98,4)),VALUE(MID(E98,4,2)),VALUE(LEFT(E98,2)))-TODAY()),"—")</f>
        <v>167</v>
      </c>
      <c r="G98" s="10">
        <f t="shared" ref="G98:G129" ca="1" si="7">IF(D98="TEM PERFIL",IFERROR(IF(ISNUMBER(E98),E98-TODAY(),DATE(VALUE(RIGHT(E98,4)),VALUE(MID(E98,4,2)),VALUE(LEFT(E98,2)))-TODAY())+ROW()/100000,9999999+ROW()/100000),9999999+ROW()/100000)</f>
        <v>167.00098</v>
      </c>
    </row>
    <row r="99" spans="1:7" ht="15" customHeight="1" x14ac:dyDescent="0.3">
      <c r="A99" s="10" t="s">
        <v>207</v>
      </c>
      <c r="B99" s="10" t="e">
        <f>CONDUTORES!#REF!</f>
        <v>#REF!</v>
      </c>
      <c r="C99" s="10" t="str">
        <f>CONDUTORES!D73</f>
        <v>VINICIUS ALVES DE OLIVEIRA</v>
      </c>
      <c r="D99" s="10" t="str">
        <f>CONDUTORES!E73</f>
        <v>TEM PERFIL</v>
      </c>
      <c r="E99" s="10" t="str">
        <f>CONDUTORES!F73</f>
        <v>20/02/2027</v>
      </c>
      <c r="F99" s="10">
        <f t="shared" ca="1" si="6"/>
        <v>169</v>
      </c>
      <c r="G99" s="10">
        <f t="shared" ca="1" si="7"/>
        <v>169.00099</v>
      </c>
    </row>
    <row r="100" spans="1:7" ht="15" customHeight="1" x14ac:dyDescent="0.3">
      <c r="A100" s="10" t="s">
        <v>207</v>
      </c>
      <c r="B100" s="10" t="e">
        <f>CONDUTORES!#REF!</f>
        <v>#REF!</v>
      </c>
      <c r="C100" s="10" t="str">
        <f>CONDUTORES!D74</f>
        <v>BARDY CHARLES FARIA DOS SANTOS</v>
      </c>
      <c r="D100" s="10" t="str">
        <f>CONDUTORES!E74</f>
        <v>TEM PERFIL</v>
      </c>
      <c r="E100" s="10" t="str">
        <f>CONDUTORES!F74</f>
        <v>10/02/2027</v>
      </c>
      <c r="F100" s="10">
        <f t="shared" ca="1" si="6"/>
        <v>159</v>
      </c>
      <c r="G100" s="10">
        <f t="shared" ca="1" si="7"/>
        <v>159.001</v>
      </c>
    </row>
    <row r="101" spans="1:7" ht="15" customHeight="1" x14ac:dyDescent="0.3">
      <c r="A101" s="10" t="s">
        <v>207</v>
      </c>
      <c r="B101" s="10" t="e">
        <f>CONDUTORES!#REF!</f>
        <v>#REF!</v>
      </c>
      <c r="C101" s="10" t="str">
        <f>CONDUTORES!D75</f>
        <v>ROBSON LUCAS REIS DIAS</v>
      </c>
      <c r="D101" s="10" t="str">
        <f>CONDUTORES!E75</f>
        <v>TEM PERFIL</v>
      </c>
      <c r="E101" s="10" t="str">
        <f>CONDUTORES!F75</f>
        <v>10/02/2027</v>
      </c>
      <c r="F101" s="10">
        <f t="shared" ca="1" si="6"/>
        <v>159</v>
      </c>
      <c r="G101" s="10">
        <f t="shared" ca="1" si="7"/>
        <v>159.00101000000001</v>
      </c>
    </row>
    <row r="102" spans="1:7" ht="15" customHeight="1" x14ac:dyDescent="0.3">
      <c r="A102" s="10" t="s">
        <v>207</v>
      </c>
      <c r="B102" s="10" t="e">
        <f>CONDUTORES!#REF!</f>
        <v>#REF!</v>
      </c>
      <c r="C102" s="10" t="str">
        <f>CONDUTORES!D76</f>
        <v>LEONARDO CRIVELLA</v>
      </c>
      <c r="D102" s="10" t="str">
        <f>CONDUTORES!E76</f>
        <v>TEM PERFIL</v>
      </c>
      <c r="E102" s="10" t="str">
        <f>CONDUTORES!F76</f>
        <v>10/02/2027</v>
      </c>
      <c r="F102" s="10">
        <f t="shared" ca="1" si="6"/>
        <v>159</v>
      </c>
      <c r="G102" s="10">
        <f t="shared" ca="1" si="7"/>
        <v>159.00102000000001</v>
      </c>
    </row>
    <row r="103" spans="1:7" ht="15" customHeight="1" x14ac:dyDescent="0.3">
      <c r="A103" s="10" t="s">
        <v>207</v>
      </c>
      <c r="B103" s="10" t="e">
        <f>CONDUTORES!#REF!</f>
        <v>#REF!</v>
      </c>
      <c r="C103" s="10" t="str">
        <f>CONDUTORES!D77</f>
        <v>ROGERIO VIEIRA DE OLIVEIRA</v>
      </c>
      <c r="D103" s="10" t="str">
        <f>CONDUTORES!E77</f>
        <v>TEM PERFIL</v>
      </c>
      <c r="E103" s="10" t="str">
        <f>CONDUTORES!F77</f>
        <v>02/02/2027</v>
      </c>
      <c r="F103" s="10">
        <f t="shared" ca="1" si="6"/>
        <v>151</v>
      </c>
      <c r="G103" s="10">
        <f t="shared" ca="1" si="7"/>
        <v>151.00102999999999</v>
      </c>
    </row>
    <row r="104" spans="1:7" ht="15" customHeight="1" x14ac:dyDescent="0.3">
      <c r="A104" s="10" t="s">
        <v>207</v>
      </c>
      <c r="B104" s="10" t="e">
        <f>CONDUTORES!#REF!</f>
        <v>#REF!</v>
      </c>
      <c r="C104" s="10" t="str">
        <f>CONDUTORES!D78</f>
        <v>LEANDRO LOPES GUIMARAES</v>
      </c>
      <c r="D104" s="10" t="str">
        <f>CONDUTORES!E78</f>
        <v>TEM PERFIL</v>
      </c>
      <c r="E104" s="10" t="str">
        <f>CONDUTORES!F78</f>
        <v>29/01/2027</v>
      </c>
      <c r="F104" s="10">
        <f t="shared" ca="1" si="6"/>
        <v>147</v>
      </c>
      <c r="G104" s="10">
        <f t="shared" ca="1" si="7"/>
        <v>147.00103999999999</v>
      </c>
    </row>
    <row r="105" spans="1:7" ht="15" customHeight="1" x14ac:dyDescent="0.3">
      <c r="A105" s="10" t="s">
        <v>207</v>
      </c>
      <c r="B105" s="10" t="e">
        <f>CONDUTORES!#REF!</f>
        <v>#REF!</v>
      </c>
      <c r="C105" s="10" t="str">
        <f>CONDUTORES!D79</f>
        <v>VITOR PAULO ZAMBALDI</v>
      </c>
      <c r="D105" s="10" t="str">
        <f>CONDUTORES!E79</f>
        <v>TEM PERFIL</v>
      </c>
      <c r="E105" s="10" t="str">
        <f>CONDUTORES!F79</f>
        <v>28/01/2027</v>
      </c>
      <c r="F105" s="10">
        <f t="shared" ca="1" si="6"/>
        <v>146</v>
      </c>
      <c r="G105" s="10">
        <f t="shared" ca="1" si="7"/>
        <v>146.00104999999999</v>
      </c>
    </row>
    <row r="106" spans="1:7" ht="15" customHeight="1" x14ac:dyDescent="0.3">
      <c r="A106" s="10" t="s">
        <v>207</v>
      </c>
      <c r="B106" s="10" t="e">
        <f>CONDUTORES!#REF!</f>
        <v>#REF!</v>
      </c>
      <c r="C106" s="10" t="str">
        <f>CONDUTORES!D80</f>
        <v>FABIO SALES DE OLIVEIRA</v>
      </c>
      <c r="D106" s="10" t="str">
        <f>CONDUTORES!E80</f>
        <v>TEM PERFIL</v>
      </c>
      <c r="E106" s="10" t="str">
        <f>CONDUTORES!F80</f>
        <v>28/01/2027</v>
      </c>
      <c r="F106" s="10">
        <f t="shared" ca="1" si="6"/>
        <v>146</v>
      </c>
      <c r="G106" s="10">
        <f t="shared" ca="1" si="7"/>
        <v>146.00106</v>
      </c>
    </row>
    <row r="107" spans="1:7" ht="15" customHeight="1" x14ac:dyDescent="0.3">
      <c r="A107" s="10" t="s">
        <v>207</v>
      </c>
      <c r="B107" s="10" t="e">
        <f>CONDUTORES!#REF!</f>
        <v>#REF!</v>
      </c>
      <c r="C107" s="10" t="str">
        <f>CONDUTORES!D81</f>
        <v>WERLY SOUSA DE OLIVEIRA</v>
      </c>
      <c r="D107" s="10" t="str">
        <f>CONDUTORES!E81</f>
        <v>TEM PERFIL</v>
      </c>
      <c r="E107" s="10" t="str">
        <f>CONDUTORES!F81</f>
        <v>24/12/2026</v>
      </c>
      <c r="F107" s="10">
        <f t="shared" ca="1" si="6"/>
        <v>111</v>
      </c>
      <c r="G107" s="10">
        <f t="shared" ca="1" si="7"/>
        <v>111.00107</v>
      </c>
    </row>
    <row r="108" spans="1:7" ht="15" customHeight="1" x14ac:dyDescent="0.3">
      <c r="A108" s="10" t="s">
        <v>207</v>
      </c>
      <c r="B108" s="10" t="e">
        <f>CONDUTORES!#REF!</f>
        <v>#REF!</v>
      </c>
      <c r="C108" s="10" t="str">
        <f>CONDUTORES!D82</f>
        <v>GILBERTO DA SILVA MIGUEL JUNIOR</v>
      </c>
      <c r="D108" s="10" t="str">
        <f>CONDUTORES!E82</f>
        <v>TEM PERFIL</v>
      </c>
      <c r="E108" s="10" t="str">
        <f>CONDUTORES!F82</f>
        <v>26/01/2027</v>
      </c>
      <c r="F108" s="10">
        <f t="shared" ca="1" si="6"/>
        <v>144</v>
      </c>
      <c r="G108" s="10">
        <f t="shared" ca="1" si="7"/>
        <v>144.00108</v>
      </c>
    </row>
    <row r="109" spans="1:7" ht="15" customHeight="1" x14ac:dyDescent="0.3">
      <c r="A109" s="10" t="s">
        <v>207</v>
      </c>
      <c r="B109" s="10" t="e">
        <f>CONDUTORES!#REF!</f>
        <v>#REF!</v>
      </c>
      <c r="C109" s="10" t="str">
        <f>CONDUTORES!D83</f>
        <v>ALISSON SANTOS VELOSO</v>
      </c>
      <c r="D109" s="10" t="str">
        <f>CONDUTORES!E83</f>
        <v>TEM PERFIL</v>
      </c>
      <c r="E109" s="10" t="str">
        <f>CONDUTORES!F83</f>
        <v>26/01/2027</v>
      </c>
      <c r="F109" s="10">
        <f t="shared" ca="1" si="6"/>
        <v>144</v>
      </c>
      <c r="G109" s="10">
        <f t="shared" ca="1" si="7"/>
        <v>144.00109</v>
      </c>
    </row>
    <row r="110" spans="1:7" ht="15" customHeight="1" x14ac:dyDescent="0.3">
      <c r="A110" s="10" t="s">
        <v>207</v>
      </c>
      <c r="B110" s="10" t="e">
        <f>CONDUTORES!#REF!</f>
        <v>#REF!</v>
      </c>
      <c r="C110" s="10" t="str">
        <f>CONDUTORES!D84</f>
        <v>ALEXANDRE AMORIM DE SOUZA</v>
      </c>
      <c r="D110" s="10" t="str">
        <f>CONDUTORES!E84</f>
        <v>TEM PERFIL</v>
      </c>
      <c r="E110" s="10" t="str">
        <f>CONDUTORES!F84</f>
        <v>19/01/2027</v>
      </c>
      <c r="F110" s="10">
        <f t="shared" ca="1" si="6"/>
        <v>137</v>
      </c>
      <c r="G110" s="10">
        <f t="shared" ca="1" si="7"/>
        <v>137.00110000000001</v>
      </c>
    </row>
    <row r="111" spans="1:7" ht="15" customHeight="1" x14ac:dyDescent="0.3">
      <c r="A111" s="10" t="s">
        <v>207</v>
      </c>
      <c r="B111" s="10" t="e">
        <f>CONDUTORES!#REF!</f>
        <v>#REF!</v>
      </c>
      <c r="C111" s="10" t="str">
        <f>CONDUTORES!D85</f>
        <v>JORGE LEONARDO DE AGUIAR NEVES</v>
      </c>
      <c r="D111" s="10" t="str">
        <f>CONDUTORES!E85</f>
        <v>TEM PERFIL</v>
      </c>
      <c r="E111" s="10" t="str">
        <f>CONDUTORES!F85</f>
        <v>01/03/2027</v>
      </c>
      <c r="F111" s="10">
        <f t="shared" ca="1" si="6"/>
        <v>178</v>
      </c>
      <c r="G111" s="10">
        <f t="shared" ca="1" si="7"/>
        <v>178.00111000000001</v>
      </c>
    </row>
    <row r="112" spans="1:7" ht="15" customHeight="1" x14ac:dyDescent="0.3">
      <c r="A112" s="10" t="s">
        <v>207</v>
      </c>
      <c r="B112" s="10" t="e">
        <f>CONDUTORES!#REF!</f>
        <v>#REF!</v>
      </c>
      <c r="C112" s="10" t="str">
        <f>CONDUTORES!D86</f>
        <v>ALUIZIO CANDEIA DOS SANTOS FILHO</v>
      </c>
      <c r="D112" s="10" t="str">
        <f>CONDUTORES!E86</f>
        <v>TEM PERFIL</v>
      </c>
      <c r="E112" s="10" t="str">
        <f>CONDUTORES!F86</f>
        <v>01/03/2027</v>
      </c>
      <c r="F112" s="10">
        <f t="shared" ca="1" si="6"/>
        <v>178</v>
      </c>
      <c r="G112" s="10">
        <f t="shared" ca="1" si="7"/>
        <v>178.00111999999999</v>
      </c>
    </row>
    <row r="113" spans="1:7" ht="15" customHeight="1" x14ac:dyDescent="0.3">
      <c r="A113" s="10" t="s">
        <v>207</v>
      </c>
      <c r="B113" s="10" t="e">
        <f>CONDUTORES!#REF!</f>
        <v>#REF!</v>
      </c>
      <c r="C113" s="10" t="str">
        <f>CONDUTORES!D87</f>
        <v>ANDRE LUIZ BORGES AFFONSO</v>
      </c>
      <c r="D113" s="10" t="str">
        <f>CONDUTORES!E87</f>
        <v>TEM PERFIL</v>
      </c>
      <c r="E113" s="10" t="str">
        <f>CONDUTORES!F87</f>
        <v>01/03/2027</v>
      </c>
      <c r="F113" s="10">
        <f t="shared" ca="1" si="6"/>
        <v>178</v>
      </c>
      <c r="G113" s="10">
        <f t="shared" ca="1" si="7"/>
        <v>178.00112999999999</v>
      </c>
    </row>
    <row r="114" spans="1:7" ht="15" customHeight="1" x14ac:dyDescent="0.3">
      <c r="A114" s="10" t="s">
        <v>207</v>
      </c>
      <c r="B114" s="10" t="e">
        <f>CONDUTORES!#REF!</f>
        <v>#REF!</v>
      </c>
      <c r="C114" s="10" t="str">
        <f>CONDUTORES!D88</f>
        <v>ROMARIO FREITAS GOMES</v>
      </c>
      <c r="D114" s="10" t="str">
        <f>CONDUTORES!E88</f>
        <v>TEM PERFIL</v>
      </c>
      <c r="E114" s="10" t="str">
        <f>CONDUTORES!F88</f>
        <v>01/03/2027</v>
      </c>
      <c r="F114" s="10">
        <f t="shared" ca="1" si="6"/>
        <v>178</v>
      </c>
      <c r="G114" s="10">
        <f t="shared" ca="1" si="7"/>
        <v>178.00113999999999</v>
      </c>
    </row>
    <row r="115" spans="1:7" ht="15" customHeight="1" x14ac:dyDescent="0.3">
      <c r="A115" s="10" t="s">
        <v>207</v>
      </c>
      <c r="B115" s="10" t="e">
        <f>CONDUTORES!#REF!</f>
        <v>#REF!</v>
      </c>
      <c r="C115" s="10" t="str">
        <f>CONDUTORES!D89</f>
        <v>ISRAEL DE ALBUQUERQUE</v>
      </c>
      <c r="D115" s="10" t="str">
        <f>CONDUTORES!E89</f>
        <v>TEM PERFIL</v>
      </c>
      <c r="E115" s="10" t="str">
        <f>CONDUTORES!F89</f>
        <v>01/03/2027</v>
      </c>
      <c r="F115" s="10">
        <f t="shared" ca="1" si="6"/>
        <v>178</v>
      </c>
      <c r="G115" s="10">
        <f t="shared" ca="1" si="7"/>
        <v>178.00115</v>
      </c>
    </row>
    <row r="116" spans="1:7" ht="15" customHeight="1" x14ac:dyDescent="0.3">
      <c r="A116" s="10" t="s">
        <v>207</v>
      </c>
      <c r="B116" s="10" t="e">
        <f>CONDUTORES!#REF!</f>
        <v>#REF!</v>
      </c>
      <c r="C116" s="10" t="str">
        <f>CONDUTORES!D90</f>
        <v>CELIO ROBERTO IDALINO DE SOUZA</v>
      </c>
      <c r="D116" s="10" t="str">
        <f>CONDUTORES!E90</f>
        <v>CPF INVÁLIDO</v>
      </c>
      <c r="E116" s="10">
        <f>CONDUTORES!F90</f>
        <v>0</v>
      </c>
      <c r="F116" s="10">
        <f t="shared" ca="1" si="6"/>
        <v>-46269</v>
      </c>
      <c r="G116" s="10">
        <f t="shared" ca="1" si="7"/>
        <v>9999999.0011599995</v>
      </c>
    </row>
    <row r="117" spans="1:7" ht="15" customHeight="1" x14ac:dyDescent="0.3">
      <c r="A117" s="10" t="s">
        <v>207</v>
      </c>
      <c r="B117" s="10" t="e">
        <f>CONDUTORES!#REF!</f>
        <v>#REF!</v>
      </c>
      <c r="C117" s="10" t="str">
        <f>CONDUTORES!D91</f>
        <v>LUCAS PEDRA DA SILVA</v>
      </c>
      <c r="D117" s="10" t="str">
        <f>CONDUTORES!E91</f>
        <v>TEM PERFIL</v>
      </c>
      <c r="E117" s="10" t="str">
        <f>CONDUTORES!F91</f>
        <v>01/03/2027</v>
      </c>
      <c r="F117" s="10">
        <f t="shared" ca="1" si="6"/>
        <v>178</v>
      </c>
      <c r="G117" s="10">
        <f t="shared" ca="1" si="7"/>
        <v>178.00117</v>
      </c>
    </row>
    <row r="118" spans="1:7" ht="15" customHeight="1" x14ac:dyDescent="0.3">
      <c r="A118" s="10" t="s">
        <v>207</v>
      </c>
      <c r="B118" s="10" t="e">
        <f>CONDUTORES!#REF!</f>
        <v>#REF!</v>
      </c>
      <c r="C118" s="10" t="str">
        <f>CONDUTORES!D92</f>
        <v>EDUARDO DOS SANTOS BAITA</v>
      </c>
      <c r="D118" s="10" t="str">
        <f>CONDUTORES!E92</f>
        <v>TEM PERFIL</v>
      </c>
      <c r="E118" s="10" t="str">
        <f>CONDUTORES!F92</f>
        <v>26/02/2027</v>
      </c>
      <c r="F118" s="10">
        <f t="shared" ca="1" si="6"/>
        <v>175</v>
      </c>
      <c r="G118" s="10">
        <f t="shared" ca="1" si="7"/>
        <v>175.00118000000001</v>
      </c>
    </row>
    <row r="119" spans="1:7" ht="15" customHeight="1" x14ac:dyDescent="0.3">
      <c r="A119" s="10" t="s">
        <v>207</v>
      </c>
      <c r="B119" s="10" t="e">
        <f>CONDUTORES!#REF!</f>
        <v>#REF!</v>
      </c>
      <c r="C119" s="10" t="str">
        <f>CONDUTORES!D93</f>
        <v>TIAGO FERREIRA DA SILVA</v>
      </c>
      <c r="D119" s="10" t="str">
        <f>CONDUTORES!E93</f>
        <v>DOCUMENTO VENCIDO</v>
      </c>
      <c r="E119" s="10">
        <f>CONDUTORES!F93</f>
        <v>0</v>
      </c>
      <c r="F119" s="10">
        <f t="shared" ca="1" si="6"/>
        <v>-46269</v>
      </c>
      <c r="G119" s="10">
        <f t="shared" ca="1" si="7"/>
        <v>9999999.0011899993</v>
      </c>
    </row>
    <row r="120" spans="1:7" ht="15" customHeight="1" x14ac:dyDescent="0.3">
      <c r="A120" s="10" t="s">
        <v>207</v>
      </c>
      <c r="B120" s="10" t="e">
        <f>CONDUTORES!#REF!</f>
        <v>#REF!</v>
      </c>
      <c r="C120" s="10">
        <f>CONDUTORES!D94</f>
        <v>0</v>
      </c>
      <c r="D120" s="10">
        <f>CONDUTORES!E94</f>
        <v>0</v>
      </c>
      <c r="E120" s="10">
        <f>CONDUTORES!F94</f>
        <v>0</v>
      </c>
      <c r="F120" s="10">
        <f t="shared" ca="1" si="6"/>
        <v>-46269</v>
      </c>
      <c r="G120" s="10">
        <f t="shared" ca="1" si="7"/>
        <v>9999999.0011999998</v>
      </c>
    </row>
    <row r="121" spans="1:7" ht="15" customHeight="1" x14ac:dyDescent="0.3">
      <c r="A121" s="10" t="s">
        <v>207</v>
      </c>
      <c r="B121" s="10" t="e">
        <f>CONDUTORES!#REF!</f>
        <v>#REF!</v>
      </c>
      <c r="C121" s="10">
        <f>CONDUTORES!D95</f>
        <v>0</v>
      </c>
      <c r="D121" s="10">
        <f>CONDUTORES!E95</f>
        <v>0</v>
      </c>
      <c r="E121" s="10">
        <f>CONDUTORES!F95</f>
        <v>0</v>
      </c>
      <c r="F121" s="10">
        <f t="shared" ca="1" si="6"/>
        <v>-46269</v>
      </c>
      <c r="G121" s="10">
        <f t="shared" ca="1" si="7"/>
        <v>9999999.0012100004</v>
      </c>
    </row>
    <row r="122" spans="1:7" ht="15" customHeight="1" x14ac:dyDescent="0.3">
      <c r="A122" s="10" t="s">
        <v>208</v>
      </c>
      <c r="B122" s="10" t="e">
        <f>FUNCIONARIOS!#REF!</f>
        <v>#REF!</v>
      </c>
      <c r="C122" s="10" t="str">
        <f>FUNCIONARIOS!B6</f>
        <v>CLEVERTON DOS SANTOS</v>
      </c>
      <c r="D122" s="10" t="str">
        <f>FUNCIONARIOS!C6</f>
        <v>TEM PERFIL</v>
      </c>
      <c r="E122" s="51" t="str">
        <f>FUNCIONARIOS!D6</f>
        <v>19/01/2027</v>
      </c>
      <c r="F122" s="10">
        <f t="shared" ca="1" si="6"/>
        <v>137</v>
      </c>
      <c r="G122" s="10">
        <f t="shared" ca="1" si="7"/>
        <v>137.00121999999999</v>
      </c>
    </row>
    <row r="123" spans="1:7" ht="15" customHeight="1" x14ac:dyDescent="0.3">
      <c r="A123" s="10" t="s">
        <v>208</v>
      </c>
      <c r="B123" s="10" t="e">
        <f>FUNCIONARIOS!#REF!</f>
        <v>#REF!</v>
      </c>
      <c r="C123" s="10" t="str">
        <f>FUNCIONARIOS!B7</f>
        <v>RAQUEL DA SILVA SOUZA</v>
      </c>
      <c r="D123" s="10" t="str">
        <f>FUNCIONARIOS!C7</f>
        <v>TEM PERFIL</v>
      </c>
      <c r="E123" s="51" t="str">
        <f>FUNCIONARIOS!D7</f>
        <v>29/01/2027</v>
      </c>
      <c r="F123" s="10">
        <f t="shared" ca="1" si="6"/>
        <v>147</v>
      </c>
      <c r="G123" s="10">
        <f t="shared" ca="1" si="7"/>
        <v>147.00122999999999</v>
      </c>
    </row>
    <row r="124" spans="1:7" ht="15" customHeight="1" x14ac:dyDescent="0.3">
      <c r="A124" s="10" t="s">
        <v>208</v>
      </c>
      <c r="B124" s="10" t="e">
        <f>FUNCIONARIOS!#REF!</f>
        <v>#REF!</v>
      </c>
      <c r="C124" s="10" t="str">
        <f>FUNCIONARIOS!B8</f>
        <v>MATHEUS TEIXEIRA MEDEIROS MACHADO</v>
      </c>
      <c r="D124" s="10" t="str">
        <f>FUNCIONARIOS!C8</f>
        <v>TEM PERFIL</v>
      </c>
      <c r="E124" s="51">
        <f>FUNCIONARIOS!D8</f>
        <v>46406</v>
      </c>
      <c r="F124" s="10">
        <f t="shared" ca="1" si="6"/>
        <v>137</v>
      </c>
      <c r="G124" s="10">
        <f t="shared" ca="1" si="7"/>
        <v>137.00124</v>
      </c>
    </row>
    <row r="125" spans="1:7" ht="15" customHeight="1" x14ac:dyDescent="0.3">
      <c r="A125" s="10" t="s">
        <v>208</v>
      </c>
      <c r="B125" s="10" t="e">
        <f>FUNCIONARIOS!#REF!</f>
        <v>#REF!</v>
      </c>
      <c r="C125" s="10" t="str">
        <f>FUNCIONARIOS!B9</f>
        <v>RAPHAEL AZEVEDO MAIA</v>
      </c>
      <c r="D125" s="10" t="str">
        <f>FUNCIONARIOS!C9</f>
        <v>TEM PERFIL</v>
      </c>
      <c r="E125" s="51">
        <f>FUNCIONARIOS!D9</f>
        <v>46406</v>
      </c>
      <c r="F125" s="10">
        <f t="shared" ca="1" si="6"/>
        <v>137</v>
      </c>
      <c r="G125" s="10">
        <f t="shared" ca="1" si="7"/>
        <v>137.00125</v>
      </c>
    </row>
    <row r="126" spans="1:7" ht="15" customHeight="1" x14ac:dyDescent="0.3">
      <c r="A126" s="10" t="s">
        <v>208</v>
      </c>
      <c r="B126" s="10" t="e">
        <f>FUNCIONARIOS!#REF!</f>
        <v>#REF!</v>
      </c>
      <c r="C126" s="10" t="str">
        <f>FUNCIONARIOS!B10</f>
        <v>MARCIO GEORGE SAMPAIO DE FARIAS</v>
      </c>
      <c r="D126" s="10" t="str">
        <f>FUNCIONARIOS!C10</f>
        <v>TEM PERFIL</v>
      </c>
      <c r="E126" s="51">
        <f>FUNCIONARIOS!D10</f>
        <v>46406</v>
      </c>
      <c r="F126" s="10">
        <f t="shared" ca="1" si="6"/>
        <v>137</v>
      </c>
      <c r="G126" s="10">
        <f t="shared" ca="1" si="7"/>
        <v>137.00126</v>
      </c>
    </row>
    <row r="127" spans="1:7" ht="15" customHeight="1" x14ac:dyDescent="0.3">
      <c r="A127" s="10" t="s">
        <v>208</v>
      </c>
      <c r="B127" s="10" t="e">
        <f>FUNCIONARIOS!#REF!</f>
        <v>#REF!</v>
      </c>
      <c r="C127" s="10" t="str">
        <f>FUNCIONARIOS!B11</f>
        <v>ADEIRAN LIMA SANTOS (OUTROS)</v>
      </c>
      <c r="D127" s="10" t="str">
        <f>FUNCIONARIOS!C11</f>
        <v>TEM PERFIL</v>
      </c>
      <c r="E127" s="51" t="str">
        <f>FUNCIONARIOS!D11</f>
        <v>28/01/2027</v>
      </c>
      <c r="F127" s="10">
        <f t="shared" ca="1" si="6"/>
        <v>146</v>
      </c>
      <c r="G127" s="10">
        <f t="shared" ca="1" si="7"/>
        <v>146.00127000000001</v>
      </c>
    </row>
    <row r="128" spans="1:7" ht="15" customHeight="1" x14ac:dyDescent="0.3">
      <c r="A128" s="10" t="s">
        <v>208</v>
      </c>
      <c r="B128" s="10" t="e">
        <f>FUNCIONARIOS!#REF!</f>
        <v>#REF!</v>
      </c>
      <c r="C128" s="10" t="str">
        <f>FUNCIONARIOS!B12</f>
        <v>GUSTAVO RIBEIRO DE MEDEIROS (CONFERENTE)</v>
      </c>
      <c r="D128" s="10" t="str">
        <f>FUNCIONARIOS!C12</f>
        <v>TEM PERFIL</v>
      </c>
      <c r="E128" s="51" t="str">
        <f>FUNCIONARIOS!D12</f>
        <v>28/01/2027</v>
      </c>
      <c r="F128" s="10">
        <f t="shared" ca="1" si="6"/>
        <v>146</v>
      </c>
      <c r="G128" s="10">
        <f t="shared" ca="1" si="7"/>
        <v>146.00128000000001</v>
      </c>
    </row>
    <row r="129" spans="1:7" ht="15" customHeight="1" x14ac:dyDescent="0.3">
      <c r="A129" s="10" t="s">
        <v>208</v>
      </c>
      <c r="B129" s="10" t="e">
        <f>FUNCIONARIOS!#REF!</f>
        <v>#REF!</v>
      </c>
      <c r="C129" s="10" t="str">
        <f>FUNCIONARIOS!B13</f>
        <v>JOAO DOS SANTOS GUIMARAES (OUTROS)</v>
      </c>
      <c r="D129" s="10" t="str">
        <f>FUNCIONARIOS!C13</f>
        <v>NÃO TEM PERFIL</v>
      </c>
      <c r="E129" s="51">
        <f>FUNCIONARIOS!D13</f>
        <v>0</v>
      </c>
      <c r="F129" s="10">
        <f t="shared" ca="1" si="6"/>
        <v>-46269</v>
      </c>
      <c r="G129" s="10">
        <f t="shared" ca="1" si="7"/>
        <v>9999999.0012899991</v>
      </c>
    </row>
    <row r="130" spans="1:7" ht="15" customHeight="1" x14ac:dyDescent="0.3">
      <c r="A130" s="10" t="s">
        <v>208</v>
      </c>
      <c r="B130" s="10" t="e">
        <f>FUNCIONARIOS!#REF!</f>
        <v>#REF!</v>
      </c>
      <c r="C130" s="10">
        <f>FUNCIONARIOS!B14</f>
        <v>0</v>
      </c>
      <c r="D130" s="10">
        <f>FUNCIONARIOS!C14</f>
        <v>0</v>
      </c>
      <c r="E130" s="51">
        <f>FUNCIONARIOS!D14</f>
        <v>0</v>
      </c>
      <c r="F130" s="10">
        <f t="shared" ref="F130:F161" ca="1" si="8">IFERROR(IF(ISNUMBER(E130),E130-TODAY(),DATE(VALUE(RIGHT(E130,4)),VALUE(MID(E130,4,2)),VALUE(LEFT(E130,2)))-TODAY()),"—")</f>
        <v>-46269</v>
      </c>
      <c r="G130" s="10">
        <f t="shared" ref="G130:G136" ca="1" si="9">IF(D130="TEM PERFIL",IFERROR(IF(ISNUMBER(E130),E130-TODAY(),DATE(VALUE(RIGHT(E130,4)),VALUE(MID(E130,4,2)),VALUE(LEFT(E130,2)))-TODAY())+ROW()/100000,9999999+ROW()/100000),9999999+ROW()/100000)</f>
        <v>9999999.0012999997</v>
      </c>
    </row>
    <row r="131" spans="1:7" ht="15" customHeight="1" x14ac:dyDescent="0.3">
      <c r="A131" s="10" t="s">
        <v>208</v>
      </c>
      <c r="B131" s="10" t="e">
        <f>FUNCIONARIOS!#REF!</f>
        <v>#REF!</v>
      </c>
      <c r="C131" s="10">
        <f>FUNCIONARIOS!B15</f>
        <v>0</v>
      </c>
      <c r="D131" s="10">
        <f>FUNCIONARIOS!C15</f>
        <v>0</v>
      </c>
      <c r="E131" s="51">
        <f>FUNCIONARIOS!D15</f>
        <v>0</v>
      </c>
      <c r="F131" s="10">
        <f t="shared" ca="1" si="8"/>
        <v>-46269</v>
      </c>
      <c r="G131" s="10">
        <f t="shared" ca="1" si="9"/>
        <v>9999999.0013100002</v>
      </c>
    </row>
    <row r="132" spans="1:7" ht="15" customHeight="1" x14ac:dyDescent="0.3">
      <c r="A132" s="10" t="s">
        <v>208</v>
      </c>
      <c r="B132" s="10" t="e">
        <f>FUNCIONARIOS!#REF!</f>
        <v>#REF!</v>
      </c>
      <c r="C132" s="10">
        <f>FUNCIONARIOS!B16</f>
        <v>0</v>
      </c>
      <c r="D132" s="10">
        <f>FUNCIONARIOS!C16</f>
        <v>0</v>
      </c>
      <c r="E132" s="51">
        <f>FUNCIONARIOS!D16</f>
        <v>0</v>
      </c>
      <c r="F132" s="10">
        <f t="shared" ca="1" si="8"/>
        <v>-46269</v>
      </c>
      <c r="G132" s="10">
        <f t="shared" ca="1" si="9"/>
        <v>9999999.0013200007</v>
      </c>
    </row>
    <row r="133" spans="1:7" ht="15" customHeight="1" x14ac:dyDescent="0.3">
      <c r="A133" s="10" t="s">
        <v>208</v>
      </c>
      <c r="B133" s="10" t="e">
        <f>FUNCIONARIOS!#REF!</f>
        <v>#REF!</v>
      </c>
      <c r="C133" s="10">
        <f>FUNCIONARIOS!B17</f>
        <v>0</v>
      </c>
      <c r="D133" s="10">
        <f>FUNCIONARIOS!C17</f>
        <v>0</v>
      </c>
      <c r="E133" s="51">
        <f>FUNCIONARIOS!D17</f>
        <v>0</v>
      </c>
      <c r="F133" s="10">
        <f t="shared" ca="1" si="8"/>
        <v>-46269</v>
      </c>
      <c r="G133" s="10">
        <f t="shared" ca="1" si="9"/>
        <v>9999999.0013299994</v>
      </c>
    </row>
    <row r="134" spans="1:7" ht="15" customHeight="1" x14ac:dyDescent="0.3">
      <c r="A134" s="10" t="s">
        <v>208</v>
      </c>
      <c r="B134" s="10" t="e">
        <f>FUNCIONARIOS!#REF!</f>
        <v>#REF!</v>
      </c>
      <c r="C134" s="10">
        <f>FUNCIONARIOS!B18</f>
        <v>0</v>
      </c>
      <c r="D134" s="10">
        <f>FUNCIONARIOS!C18</f>
        <v>0</v>
      </c>
      <c r="E134" s="51">
        <f>FUNCIONARIOS!D18</f>
        <v>0</v>
      </c>
      <c r="F134" s="10">
        <f t="shared" ca="1" si="8"/>
        <v>-46269</v>
      </c>
      <c r="G134" s="10">
        <f t="shared" ca="1" si="9"/>
        <v>9999999.00134</v>
      </c>
    </row>
    <row r="135" spans="1:7" ht="15" customHeight="1" x14ac:dyDescent="0.3">
      <c r="A135" s="10" t="s">
        <v>208</v>
      </c>
      <c r="B135" s="10" t="e">
        <f>FUNCIONARIOS!#REF!</f>
        <v>#REF!</v>
      </c>
      <c r="C135" s="10">
        <f>FUNCIONARIOS!B19</f>
        <v>0</v>
      </c>
      <c r="D135" s="10">
        <f>FUNCIONARIOS!C19</f>
        <v>0</v>
      </c>
      <c r="E135" s="51">
        <f>FUNCIONARIOS!D19</f>
        <v>0</v>
      </c>
      <c r="F135" s="10">
        <f t="shared" ca="1" si="8"/>
        <v>-46269</v>
      </c>
      <c r="G135" s="10">
        <f t="shared" ca="1" si="9"/>
        <v>9999999.0013500005</v>
      </c>
    </row>
    <row r="136" spans="1:7" ht="15" customHeight="1" x14ac:dyDescent="0.3">
      <c r="A136" s="10" t="s">
        <v>208</v>
      </c>
      <c r="B136" s="10" t="e">
        <f>FUNCIONARIOS!#REF!</f>
        <v>#REF!</v>
      </c>
      <c r="C136" s="10">
        <f>FUNCIONARIOS!B20</f>
        <v>0</v>
      </c>
      <c r="D136" s="10">
        <f>FUNCIONARIOS!C20</f>
        <v>0</v>
      </c>
      <c r="E136" s="51">
        <f>FUNCIONARIOS!D20</f>
        <v>0</v>
      </c>
      <c r="F136" s="10">
        <f t="shared" ca="1" si="8"/>
        <v>-46269</v>
      </c>
      <c r="G136" s="10">
        <f t="shared" ca="1" si="9"/>
        <v>9999999.0013599992</v>
      </c>
    </row>
    <row r="137" spans="1:7" ht="15.75" customHeight="1" x14ac:dyDescent="0.3"/>
    <row r="138" spans="1:7" ht="15.75" customHeight="1" x14ac:dyDescent="0.3"/>
    <row r="139" spans="1:7" ht="15.75" customHeight="1" x14ac:dyDescent="0.3"/>
    <row r="140" spans="1:7" ht="15.75" customHeight="1" x14ac:dyDescent="0.3"/>
    <row r="141" spans="1:7" ht="15.75" customHeight="1" x14ac:dyDescent="0.3"/>
    <row r="142" spans="1:7" ht="15.75" customHeight="1" x14ac:dyDescent="0.3"/>
    <row r="143" spans="1:7" ht="15.75" customHeight="1" x14ac:dyDescent="0.3"/>
    <row r="144" spans="1:7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DASHBOARD</vt:lpstr>
      <vt:lpstr>VEICULOS</vt:lpstr>
      <vt:lpstr>CONDUTORES</vt:lpstr>
      <vt:lpstr>FUNCIONARIOS</vt:lpstr>
      <vt:lpstr>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User</cp:lastModifiedBy>
  <cp:revision>0</cp:revision>
  <dcterms:created xsi:type="dcterms:W3CDTF">2026-06-22T19:26:19Z</dcterms:created>
  <dcterms:modified xsi:type="dcterms:W3CDTF">2026-09-04T15:44:02Z</dcterms:modified>
  <dc:language>en-US</dc:language>
</cp:coreProperties>
</file>