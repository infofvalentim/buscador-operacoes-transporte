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4.xml.rels" ContentType="application/vnd.openxmlformats-package.relationships+xml"/>
  <Override PartName="/xl/worksheets/_rels/sheet3.xml.rels" ContentType="application/vnd.openxmlformats-package.relationship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DASHBOARD" sheetId="1" state="visible" r:id="rId3"/>
    <sheet name="VEICULOS" sheetId="2" state="visible" r:id="rId4"/>
    <sheet name="CONDUTORES" sheetId="3" state="visible" r:id="rId5"/>
    <sheet name="FUNCIONARIOS" sheetId="4" state="visible" r:id="rId6"/>
    <sheet name="BASE" sheetId="5" state="hidden" r:id="rId7"/>
  </sheets>
  <definedNames>
    <definedName function="false" hidden="true" localSheetId="2" name="_xlnm._FilterDatabase" vbProcedure="false">CONDUTORES!$C$5:$I$95</definedName>
    <definedName function="false" hidden="true" localSheetId="3" name="_xlnm._FilterDatabase" vbProcedure="false">FUNCIONARIOS!$A$5:$G$20</definedName>
    <definedName function="false" hidden="true" localSheetId="1" name="_xlnm._FilterDatabase" vbProcedure="false">VEICULOS!$B$5:$G$35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<sst xmlns="http://schemas.openxmlformats.org/spreadsheetml/2006/main" count="652" uniqueCount="306">
  <si>
    <t xml:space="preserve">RONDOLOG  ×  SANTA CRUZ / ONCOPROD</t>
  </si>
  <si>
    <t xml:space="preserve">CONTROLE DE CADASTRO E VENCIMENTO DE PRAZOS  —  Operação Rondolog</t>
  </si>
  <si>
    <t xml:space="preserve">🚗  VEÍCULOS (PLACAS)</t>
  </si>
  <si>
    <t xml:space="preserve">🧑‍✈️  CONDUTORES (MOTORISTAS)</t>
  </si>
  <si>
    <t xml:space="preserve">👥  FUNCIONÁRIOS</t>
  </si>
  <si>
    <t xml:space="preserve">🟥 Vencido   🟧 ≤30 dias   🟨 31–60 dias   🟩 &gt;60 dias      |      🕓 aguardando retorno de solicitação</t>
  </si>
  <si>
    <t xml:space="preserve">  📅  PRÓXIMOS VENCIMENTOS  (registros com TEM PERFIL, ordenados por data)</t>
  </si>
  <si>
    <t xml:space="preserve">Nº</t>
  </si>
  <si>
    <t xml:space="preserve">TIPO</t>
  </si>
  <si>
    <t xml:space="preserve">CPF / PLACA</t>
  </si>
  <si>
    <t xml:space="preserve">NOME</t>
  </si>
  <si>
    <t xml:space="preserve">STATUS</t>
  </si>
  <si>
    <t xml:space="preserve">DATA VENCIMENTO</t>
  </si>
  <si>
    <t xml:space="preserve">DIAS P/ VENCER</t>
  </si>
  <si>
    <t xml:space="preserve">🚗  VEÍCULOS  —  Controle de Placas</t>
  </si>
  <si>
    <t xml:space="preserve">  ✅ TEM PERFIL = cadastro ativo     ❌ NÃO TEM PERFIL = pendente de cadastro     ⚠️ Sem data = prazo não definido</t>
  </si>
  <si>
    <t xml:space="preserve">PLACA</t>
  </si>
  <si>
    <t xml:space="preserve">VENCIMENTO</t>
  </si>
  <si>
    <t xml:space="preserve">OBSERVAÇÕES</t>
  </si>
  <si>
    <t xml:space="preserve">BRY3E66</t>
  </si>
  <si>
    <t xml:space="preserve">NÃO TEM PERFIL</t>
  </si>
  <si>
    <t xml:space="preserve">PXQ8F08</t>
  </si>
  <si>
    <t xml:space="preserve">SEM9A77</t>
  </si>
  <si>
    <t xml:space="preserve">STR9F35</t>
  </si>
  <si>
    <t xml:space="preserve">SWF4H15</t>
  </si>
  <si>
    <t xml:space="preserve">TEM PERFIL</t>
  </si>
  <si>
    <t xml:space="preserve">03/02/2027</t>
  </si>
  <si>
    <t xml:space="preserve">SWU3H66</t>
  </si>
  <si>
    <t xml:space="preserve">16/02/2027</t>
  </si>
  <si>
    <t xml:space="preserve">FUL6A21</t>
  </si>
  <si>
    <t xml:space="preserve">26/02/2027</t>
  </si>
  <si>
    <t xml:space="preserve">FXI4A14</t>
  </si>
  <si>
    <t xml:space="preserve">04/08/2027</t>
  </si>
  <si>
    <t xml:space="preserve">QSX1J75</t>
  </si>
  <si>
    <t xml:space="preserve">29/01/2027</t>
  </si>
  <si>
    <t xml:space="preserve">SVK6F53</t>
  </si>
  <si>
    <t xml:space="preserve">01/10/2027</t>
  </si>
  <si>
    <t xml:space="preserve">SWH3H91</t>
  </si>
  <si>
    <t xml:space="preserve">19/09/2026</t>
  </si>
  <si>
    <t xml:space="preserve">SWJ0H01</t>
  </si>
  <si>
    <t xml:space="preserve">TJA6H23</t>
  </si>
  <si>
    <t xml:space="preserve">MSD2923</t>
  </si>
  <si>
    <t xml:space="preserve">13/01/2027</t>
  </si>
  <si>
    <t xml:space="preserve">FQMBH72</t>
  </si>
  <si>
    <t xml:space="preserve">12/01/2027</t>
  </si>
  <si>
    <t xml:space="preserve">ORC8G70</t>
  </si>
  <si>
    <t xml:space="preserve">09/02/2027</t>
  </si>
  <si>
    <t xml:space="preserve">SWN5C43</t>
  </si>
  <si>
    <t xml:space="preserve">28/01/2027</t>
  </si>
  <si>
    <t xml:space="preserve">STU7G01</t>
  </si>
  <si>
    <t xml:space="preserve">SUJ5G29</t>
  </si>
  <si>
    <t xml:space="preserve">DOCUMENTO VENCIDO</t>
  </si>
  <si>
    <t xml:space="preserve">FPI3H41</t>
  </si>
  <si>
    <t xml:space="preserve">IYX5I53</t>
  </si>
  <si>
    <t xml:space="preserve">OVT6J59</t>
  </si>
  <si>
    <t xml:space="preserve">PPL4B01</t>
  </si>
  <si>
    <t xml:space="preserve">GDS7F11</t>
  </si>
  <si>
    <t xml:space="preserve">01/03/2027</t>
  </si>
  <si>
    <t xml:space="preserve">ECW0E38</t>
  </si>
  <si>
    <t xml:space="preserve">SWB1D01</t>
  </si>
  <si>
    <t xml:space="preserve">06/02/2027</t>
  </si>
  <si>
    <t xml:space="preserve">RNF6A66</t>
  </si>
  <si>
    <t xml:space="preserve">19/02/2027</t>
  </si>
  <si>
    <t xml:space="preserve">SVZ9G23</t>
  </si>
  <si>
    <t xml:space="preserve">🧑‍✈️  CONDUTORES  —  Controle de Motoristas</t>
  </si>
  <si>
    <t xml:space="preserve">CPF</t>
  </si>
  <si>
    <t xml:space="preserve">NOME COMPLETO</t>
  </si>
  <si>
    <t xml:space="preserve">125.408.187-90</t>
  </si>
  <si>
    <t xml:space="preserve">ADONIS DA SILVA OLIVEIRA</t>
  </si>
  <si>
    <t xml:space="preserve">127.858.077-82</t>
  </si>
  <si>
    <t xml:space="preserve">AILTON DA SILVA FERREIRA</t>
  </si>
  <si>
    <t xml:space="preserve">029.929.775-60</t>
  </si>
  <si>
    <t xml:space="preserve">ALEXSANDRO SANTOS ARAUJO</t>
  </si>
  <si>
    <t xml:space="preserve">04/03/2027</t>
  </si>
  <si>
    <t xml:space="preserve">119.554.197-01</t>
  </si>
  <si>
    <t xml:space="preserve">ANTONIO CARLOS DOS SANTOS XAVIER</t>
  </si>
  <si>
    <t xml:space="preserve">14/01/2027</t>
  </si>
  <si>
    <t xml:space="preserve">Retorno oficial recebido em 16/07/2026 - CPF confirmado correto</t>
  </si>
  <si>
    <t xml:space="preserve">052.956.511-00</t>
  </si>
  <si>
    <t xml:space="preserve">BRAYNO AFONSECA DA SILVA</t>
  </si>
  <si>
    <t xml:space="preserve">18665936769</t>
  </si>
  <si>
    <t xml:space="preserve">BRENNER FONSECA DO SERRO</t>
  </si>
  <si>
    <t xml:space="preserve">17/12/2026</t>
  </si>
  <si>
    <t xml:space="preserve">505.186.938-64</t>
  </si>
  <si>
    <t xml:space="preserve">BRUNO GONCALVES EVANGELISTA</t>
  </si>
  <si>
    <t xml:space="preserve">16/12/2026</t>
  </si>
  <si>
    <t xml:space="preserve">051.336.641-50</t>
  </si>
  <si>
    <t xml:space="preserve">CARLOS AUGUSTO DE CARVALHO JUNIOR</t>
  </si>
  <si>
    <t xml:space="preserve">29/12/2026</t>
  </si>
  <si>
    <t xml:space="preserve">Base: Betim (MG). Retorno recebido em 06/07/2026</t>
  </si>
  <si>
    <t xml:space="preserve">109.680.647-95</t>
  </si>
  <si>
    <t xml:space="preserve">CASSIO SILVA DE JESUS</t>
  </si>
  <si>
    <t xml:space="preserve">05/01/2027</t>
  </si>
  <si>
    <t xml:space="preserve">Retorno da solicitacao recebido em 08/07/2026</t>
  </si>
  <si>
    <t xml:space="preserve">385.220.428-37</t>
  </si>
  <si>
    <t xml:space="preserve">DIEGO PEREIRA ALEXANDRE</t>
  </si>
  <si>
    <t xml:space="preserve">425.064.648-32</t>
  </si>
  <si>
    <t xml:space="preserve">FABIANO CORREIA DA SILVA</t>
  </si>
  <si>
    <t xml:space="preserve">13/04/2027</t>
  </si>
  <si>
    <t xml:space="preserve">054.023.726-40</t>
  </si>
  <si>
    <t xml:space="preserve">FABIANO GOMES DOS SANTOS</t>
  </si>
  <si>
    <t xml:space="preserve">02/01/2027</t>
  </si>
  <si>
    <t xml:space="preserve">020.210.767-17</t>
  </si>
  <si>
    <t xml:space="preserve">FERNANDO FELIX CYPRESTE</t>
  </si>
  <si>
    <t xml:space="preserve">131.246.997-85</t>
  </si>
  <si>
    <t xml:space="preserve">GABRIEL DE FREITAS MIRANDA SILVA</t>
  </si>
  <si>
    <t xml:space="preserve">216.652.778-74</t>
  </si>
  <si>
    <t xml:space="preserve">HEBER AUGUSTO BARBOSA DE SOUZA</t>
  </si>
  <si>
    <t xml:space="preserve">183.486.227-21</t>
  </si>
  <si>
    <t xml:space="preserve">IGOR GOMES BENTO</t>
  </si>
  <si>
    <t xml:space="preserve">11/08/2026</t>
  </si>
  <si>
    <t xml:space="preserve">151.986.837-52</t>
  </si>
  <si>
    <t xml:space="preserve">JORGE LUIZ DA SILVA PINTO</t>
  </si>
  <si>
    <t xml:space="preserve">Base: RJ. Solicitação enviada em 06/07/2026/Não tem perfil</t>
  </si>
  <si>
    <t xml:space="preserve">323.725.878-46</t>
  </si>
  <si>
    <t xml:space="preserve">JORGE LUIZ DOS SANTOS</t>
  </si>
  <si>
    <t xml:space="preserve">DADOS DIVERGENTES</t>
  </si>
  <si>
    <t xml:space="preserve">Consulta de 16/07/2026 retornou este CPF associado ao nome ANTONIO CARLOS DOS SANTOS XAVIER - verificar CPF correto antes de liberar</t>
  </si>
  <si>
    <t xml:space="preserve">095.588.327-07</t>
  </si>
  <si>
    <t xml:space="preserve">JOSÉ ROBERTO DA SILVA</t>
  </si>
  <si>
    <t xml:space="preserve">124.385.846-02</t>
  </si>
  <si>
    <t xml:space="preserve">LUCAS ALBERTO REIS</t>
  </si>
  <si>
    <t xml:space="preserve">Retorno da solicitação recebido em 06/07/2026 - não tem perfil</t>
  </si>
  <si>
    <t xml:space="preserve">127.909.057-03</t>
  </si>
  <si>
    <t xml:space="preserve">LUIZ HENRIQUE ASSIS DA SILVA</t>
  </si>
  <si>
    <t xml:space="preserve">132.336.917-18</t>
  </si>
  <si>
    <t xml:space="preserve">MAICON DOS SANTOS ALVES</t>
  </si>
  <si>
    <t xml:space="preserve">Retorno recebido em 16/07/2026</t>
  </si>
  <si>
    <t xml:space="preserve">081.555.957-73</t>
  </si>
  <si>
    <t xml:space="preserve">MARCELO OLIVEIRA DOS SANTOS</t>
  </si>
  <si>
    <t xml:space="preserve">04/04/2027</t>
  </si>
  <si>
    <t xml:space="preserve">090.596.477-26</t>
  </si>
  <si>
    <t xml:space="preserve">MARCIO EDUARDO DE LIMA ALVES</t>
  </si>
  <si>
    <t xml:space="preserve">165.535.527-97</t>
  </si>
  <si>
    <t xml:space="preserve">MIKE MENDES DOS SANTOS RODRIGUES</t>
  </si>
  <si>
    <t xml:space="preserve">874.774.401-49</t>
  </si>
  <si>
    <t xml:space="preserve">OSCAR JOSE RODRIGUES FERREIRA</t>
  </si>
  <si>
    <t xml:space="preserve">095.223.237-56</t>
  </si>
  <si>
    <t xml:space="preserve">PATRICK PASCHOAL PALHANO</t>
  </si>
  <si>
    <t xml:space="preserve">426.632.288-77</t>
  </si>
  <si>
    <t xml:space="preserve">PAULO RICARDO DE OLIVEIRA SILVA</t>
  </si>
  <si>
    <t xml:space="preserve">18/08/2027</t>
  </si>
  <si>
    <t xml:space="preserve">121.645.977-02</t>
  </si>
  <si>
    <t xml:space="preserve">PEDRO SOUZA FILHO</t>
  </si>
  <si>
    <t xml:space="preserve">113.697.736-84</t>
  </si>
  <si>
    <t xml:space="preserve">PHILIPPE GERMANO MAGALHAES DE SOUZA</t>
  </si>
  <si>
    <t xml:space="preserve">122.800.057-35</t>
  </si>
  <si>
    <t xml:space="preserve">RODNEY DIONIZIO DOS SANTOS MELO</t>
  </si>
  <si>
    <t xml:space="preserve">075.344.591-33</t>
  </si>
  <si>
    <t xml:space="preserve">STANLEY JUNIO LIMA NOVAIS</t>
  </si>
  <si>
    <t xml:space="preserve">19/10/2026</t>
  </si>
  <si>
    <t xml:space="preserve">124.824.897-09</t>
  </si>
  <si>
    <t xml:space="preserve">THIAGO CESAR DA SILVA SOARES</t>
  </si>
  <si>
    <t xml:space="preserve">17/02/2027</t>
  </si>
  <si>
    <t xml:space="preserve">034.192.451-22</t>
  </si>
  <si>
    <t xml:space="preserve">THIAGO HERCULANO DE CARVALHO MAGALHAES</t>
  </si>
  <si>
    <t xml:space="preserve">10/09/2026</t>
  </si>
  <si>
    <t xml:space="preserve">012.574.661-00</t>
  </si>
  <si>
    <t xml:space="preserve">UDIRLEI BATISTA COSTA</t>
  </si>
  <si>
    <t xml:space="preserve">057.369.074-02</t>
  </si>
  <si>
    <t xml:space="preserve">VALDO SANTOS DA SILVA</t>
  </si>
  <si>
    <t xml:space="preserve">29/07/2026</t>
  </si>
  <si>
    <t xml:space="preserve">053.560.187-54</t>
  </si>
  <si>
    <t xml:space="preserve">WAGNER VAZ DA SILVA</t>
  </si>
  <si>
    <t xml:space="preserve">412.668.868-42</t>
  </si>
  <si>
    <t xml:space="preserve">WALLAS ARAUJO MOTA</t>
  </si>
  <si>
    <t xml:space="preserve">219.136.658-95</t>
  </si>
  <si>
    <t xml:space="preserve">WESLEY BARTUCCIOTTO RODRIGUES</t>
  </si>
  <si>
    <t xml:space="preserve">112.132.176-36</t>
  </si>
  <si>
    <t xml:space="preserve">WILSON BRUNO ALVES SOUZA</t>
  </si>
  <si>
    <t xml:space="preserve">Base: Serra (ES)</t>
  </si>
  <si>
    <t xml:space="preserve">126.196.917-02</t>
  </si>
  <si>
    <t xml:space="preserve">ADILSON DA SILVA MEIRELLES JUNIOR</t>
  </si>
  <si>
    <t xml:space="preserve">Retorno oficial recebido em 16/07/2026</t>
  </si>
  <si>
    <t xml:space="preserve">112.801.137-90</t>
  </si>
  <si>
    <t xml:space="preserve">EVANERIO FONTES LUZ</t>
  </si>
  <si>
    <t xml:space="preserve">925.958.121-49</t>
  </si>
  <si>
    <t xml:space="preserve">MARCOS PAULO CARVALHO DE OLIVEIRA</t>
  </si>
  <si>
    <t xml:space="preserve">083.963.717-92</t>
  </si>
  <si>
    <t xml:space="preserve">MARCIO ANTONIO DA SILVA</t>
  </si>
  <si>
    <t xml:space="preserve">147.342.847-50</t>
  </si>
  <si>
    <t xml:space="preserve">RAPHAEL MACHADO DA SILVA</t>
  </si>
  <si>
    <t xml:space="preserve">Situação resolvida - retorno oficial de 16/07/2026 confirma perfil ativo</t>
  </si>
  <si>
    <t xml:space="preserve">579.650.301-44</t>
  </si>
  <si>
    <t xml:space="preserve">LUIS CARLOS NOUSO</t>
  </si>
  <si>
    <t xml:space="preserve">09/01/2027</t>
  </si>
  <si>
    <t xml:space="preserve">Base: DF. Retorno recebido em 16/07/2026</t>
  </si>
  <si>
    <t xml:space="preserve">067.255.141-11</t>
  </si>
  <si>
    <t xml:space="preserve">ANDERSON DA CONCEIÇAO SIQUEIRA</t>
  </si>
  <si>
    <t xml:space="preserve">153.169.647-30</t>
  </si>
  <si>
    <t xml:space="preserve">MARLLON BRANDON AZEVEDO</t>
  </si>
  <si>
    <t xml:space="preserve">093.336.627-23</t>
  </si>
  <si>
    <t xml:space="preserve">TIAGO DA SILVA SALGADO</t>
  </si>
  <si>
    <t xml:space="preserve">189.077.897-46</t>
  </si>
  <si>
    <t xml:space="preserve">LUCAS RANGEL SAMUEL</t>
  </si>
  <si>
    <t xml:space="preserve">055.608.236-27</t>
  </si>
  <si>
    <t xml:space="preserve">ELMIRO GALDINO DE MELLO</t>
  </si>
  <si>
    <t xml:space="preserve">051.837.027-56</t>
  </si>
  <si>
    <t xml:space="preserve">EVANILDO MANOEL DE FARIAS</t>
  </si>
  <si>
    <t xml:space="preserve">167.369.307-58</t>
  </si>
  <si>
    <t xml:space="preserve">WILLIAN GONCALVES VIEIRA</t>
  </si>
  <si>
    <t xml:space="preserve">082.558.367-56</t>
  </si>
  <si>
    <t xml:space="preserve">ALEX HOMERO DA SILVA</t>
  </si>
  <si>
    <t xml:space="preserve">821.594.087-00</t>
  </si>
  <si>
    <t xml:space="preserve">CARLOS HENRIQUE DE OLIVEIRA REIS</t>
  </si>
  <si>
    <t xml:space="preserve">143.501.117-19</t>
  </si>
  <si>
    <t xml:space="preserve">FRANKLIN DE AZEVEDO RIBEIRO</t>
  </si>
  <si>
    <t xml:space="preserve">15/01/2027</t>
  </si>
  <si>
    <t xml:space="preserve">105.661.087-55</t>
  </si>
  <si>
    <t xml:space="preserve">JORGE LUIZ SANTOS DA SILVA</t>
  </si>
  <si>
    <t xml:space="preserve">AGUARDANDO RETORNO</t>
  </si>
  <si>
    <t xml:space="preserve">Atualização de cadastro solicitada em 16/07/2026</t>
  </si>
  <si>
    <t xml:space="preserve">039.322.184-93</t>
  </si>
  <si>
    <t xml:space="preserve">MANOEL MESSIAS SANTANA DA SILVA</t>
  </si>
  <si>
    <t xml:space="preserve">152.030.206-12</t>
  </si>
  <si>
    <t xml:space="preserve">ALEX GUSTAVO ALVES RODRIGUES</t>
  </si>
  <si>
    <t xml:space="preserve">Retorno de 16/07/2026 veio com CPF 017.673.336-17 (mesmo CPF do Victor Gomes Catta Preta) e status NÃO TEM PERFIL - possível erro de CPF na solicitação original, conferir documento antes de reenviar</t>
  </si>
  <si>
    <t xml:space="preserve">017.673.336-17</t>
  </si>
  <si>
    <t xml:space="preserve">VICTOR GOMES CATTA PRETA</t>
  </si>
  <si>
    <t xml:space="preserve">131.743.227-40</t>
  </si>
  <si>
    <t xml:space="preserve">GLEDSON PEREIRA FRANCISCO</t>
  </si>
  <si>
    <t xml:space="preserve">107.340.697-07</t>
  </si>
  <si>
    <t xml:space="preserve">AUGUSTO CESAR DA APARECIDA</t>
  </si>
  <si>
    <t xml:space="preserve">089.284.097-80</t>
  </si>
  <si>
    <t xml:space="preserve">WELTON BATISTA RIBEIRO</t>
  </si>
  <si>
    <t xml:space="preserve">058.232.297-98</t>
  </si>
  <si>
    <t xml:space="preserve">CLEVERTON DOS SANTOS</t>
  </si>
  <si>
    <t xml:space="preserve">Retorno oficio recebido em 20/07/2026</t>
  </si>
  <si>
    <t xml:space="preserve">413.064.168-80</t>
  </si>
  <si>
    <t xml:space="preserve">WESLEY DOS SANTOS SOUZA</t>
  </si>
  <si>
    <t xml:space="preserve">Retorno oficio recebido em 20/07/2026 | CPF divergente em retorno recente: consulta mostrou 413.064.468-80 - conferir documento antes de considerar alteracao</t>
  </si>
  <si>
    <t xml:space="preserve">085.107.795-11</t>
  </si>
  <si>
    <t xml:space="preserve">GLEIDSON CALIXTO DO SANTOS</t>
  </si>
  <si>
    <t xml:space="preserve">091.314.306-51</t>
  </si>
  <si>
    <t xml:space="preserve">LIOBINO XAVIER SOUSA</t>
  </si>
  <si>
    <t xml:space="preserve">18/02/2027</t>
  </si>
  <si>
    <t xml:space="preserve">155.639.966-97</t>
  </si>
  <si>
    <t xml:space="preserve">VINICIUS ALVES DE OLIVEIRA</t>
  </si>
  <si>
    <t xml:space="preserve">20/02/2027</t>
  </si>
  <si>
    <t xml:space="preserve">147.052.116-42</t>
  </si>
  <si>
    <t xml:space="preserve">BARDY CHARLES FARIA DOS SANTOS</t>
  </si>
  <si>
    <t xml:space="preserve">10/02/2027</t>
  </si>
  <si>
    <t xml:space="preserve">117.517.156-55</t>
  </si>
  <si>
    <t xml:space="preserve">ROBSON LUCAS REIS DIAS</t>
  </si>
  <si>
    <t xml:space="preserve">051.356.117-03</t>
  </si>
  <si>
    <t xml:space="preserve">LEONARDO CRIVELLA</t>
  </si>
  <si>
    <t xml:space="preserve">700.722.211-00</t>
  </si>
  <si>
    <t xml:space="preserve">ROGERIO VIEIRA DE OLIVEIRA</t>
  </si>
  <si>
    <t xml:space="preserve">02/02/2027</t>
  </si>
  <si>
    <t xml:space="preserve">052.802.751-40</t>
  </si>
  <si>
    <t xml:space="preserve">LEANDRO LOPES GUIMARAES</t>
  </si>
  <si>
    <t xml:space="preserve">103.606.097-75</t>
  </si>
  <si>
    <t xml:space="preserve">VITOR PAULO ZAMBALDI</t>
  </si>
  <si>
    <t xml:space="preserve">107.090.087-75</t>
  </si>
  <si>
    <t xml:space="preserve">FABIO SALES DE OLIVEIRA</t>
  </si>
  <si>
    <t xml:space="preserve">107.782.127-18</t>
  </si>
  <si>
    <t xml:space="preserve">WERLY SOUSA DE OLIVEIRA</t>
  </si>
  <si>
    <t xml:space="preserve">24/12/2026</t>
  </si>
  <si>
    <t xml:space="preserve">118.848.377-35</t>
  </si>
  <si>
    <t xml:space="preserve">GILBERTO DA SILVA MIGUEL JUNIOR</t>
  </si>
  <si>
    <t xml:space="preserve">26/01/2027</t>
  </si>
  <si>
    <t xml:space="preserve">046.603.256-01</t>
  </si>
  <si>
    <t xml:space="preserve">ALISSON SANTOS VELOSO</t>
  </si>
  <si>
    <t xml:space="preserve">036.870.961-22</t>
  </si>
  <si>
    <t xml:space="preserve">ALEXANDRE AMORIM DE SOUZA</t>
  </si>
  <si>
    <t xml:space="preserve">19/01/2027</t>
  </si>
  <si>
    <t xml:space="preserve">098.280.777-52</t>
  </si>
  <si>
    <t xml:space="preserve">JORGE LEONARDO DE AGUIAR NEVES</t>
  </si>
  <si>
    <t xml:space="preserve">161.902.877-86</t>
  </si>
  <si>
    <t xml:space="preserve">ALUIZIO CANDEIA DOS SANTOS FILHO</t>
  </si>
  <si>
    <t xml:space="preserve">090.432.937-25</t>
  </si>
  <si>
    <t xml:space="preserve">ANDRE LUIZ BORGES AFFONSO</t>
  </si>
  <si>
    <t xml:space="preserve">154.019.857-03</t>
  </si>
  <si>
    <t xml:space="preserve">ROMARIO FREITAS GOMES</t>
  </si>
  <si>
    <t xml:space="preserve">190.582.267-78</t>
  </si>
  <si>
    <t xml:space="preserve">ISRAEL DE ALBUQUERQUE</t>
  </si>
  <si>
    <t xml:space="preserve">078.659.217-64</t>
  </si>
  <si>
    <t xml:space="preserve">CELIO ROBERTO IDALINO DE SOUZA</t>
  </si>
  <si>
    <t xml:space="preserve">CPF INVÁLIDO</t>
  </si>
  <si>
    <t xml:space="preserve">134.334.417-40</t>
  </si>
  <si>
    <t xml:space="preserve">LUCAS PEDRA DA SILVA</t>
  </si>
  <si>
    <t xml:space="preserve">085.216.867-57</t>
  </si>
  <si>
    <t xml:space="preserve">EDUARDO DOS SANTOS BAITA</t>
  </si>
  <si>
    <t xml:space="preserve">116.935.557-94</t>
  </si>
  <si>
    <t xml:space="preserve">TIAGO FERREIRA DA SILVA</t>
  </si>
  <si>
    <t xml:space="preserve">👥  FUNCIONÁRIOS  —  Controle de Colaboradores</t>
  </si>
  <si>
    <t xml:space="preserve">708.595.061-77</t>
  </si>
  <si>
    <t xml:space="preserve">RAQUEL DA SILVA SOUZA</t>
  </si>
  <si>
    <t xml:space="preserve">175.662.527-12</t>
  </si>
  <si>
    <t xml:space="preserve">MATHEUS TEIXEIRA MEDEIROS MACHADO</t>
  </si>
  <si>
    <t xml:space="preserve">147.345.877-36</t>
  </si>
  <si>
    <t xml:space="preserve">RAPHAEL AZEVEDO MAIA</t>
  </si>
  <si>
    <t xml:space="preserve">768.877.741-00</t>
  </si>
  <si>
    <t xml:space="preserve">MARCIO GEORGE SAMPAIO DE FARIAS</t>
  </si>
  <si>
    <t xml:space="preserve">164.861.227-06</t>
  </si>
  <si>
    <t xml:space="preserve">ADEIRAN LIMA SANTOS (OUTROS)</t>
  </si>
  <si>
    <t xml:space="preserve">061.825.737-32</t>
  </si>
  <si>
    <t xml:space="preserve">GUSTAVO RIBEIRO DE MEDEIROS (CONFERENTE)</t>
  </si>
  <si>
    <t xml:space="preserve">026.057.045-13</t>
  </si>
  <si>
    <t xml:space="preserve">JOAO DOS SANTOS GUIMARAES (OUTROS)</t>
  </si>
  <si>
    <t xml:space="preserve">CPF_PLACA</t>
  </si>
  <si>
    <t xml:space="preserve">DIAS</t>
  </si>
  <si>
    <t xml:space="preserve">SORTKEY</t>
  </si>
  <si>
    <t xml:space="preserve">Veículo</t>
  </si>
  <si>
    <t xml:space="preserve">Condutor</t>
  </si>
  <si>
    <t xml:space="preserve">Funcionário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</si>
</sst>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m/d/yyyy"/>
    <numFmt numFmtId="167" formatCode="dd/mm/yyyy"/>
    <numFmt numFmtId="168" formatCode="[h]:mm:ss"/>
    <numFmt numFmtId="169" formatCode="d/m/yyyy"/>
    <numFmt numFmtId="170" formatCode="yyyy\-mm\-dd\ h:mm:ss"/>
  </numFmts>
  <fonts count="18">
    <font>
      <sz val="11"/>
      <color theme="1"/>
      <name val="Calibri"/>
      <family val="0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8"/>
      <color rgb="FFFFFFFF"/>
      <name val="Segoe UI"/>
      <family val="0"/>
      <charset val="1"/>
    </font>
    <font>
      <b val="true"/>
      <sz val="11"/>
      <color rgb="FFFFFFFF"/>
      <name val="Segoe UI"/>
      <family val="0"/>
      <charset val="1"/>
    </font>
    <font>
      <b val="true"/>
      <sz val="20"/>
      <color rgb="FF2F2F2F"/>
      <name val="Segoe UI"/>
      <family val="0"/>
      <charset val="1"/>
    </font>
    <font>
      <b val="true"/>
      <sz val="12"/>
      <color rgb="FF2E7D32"/>
      <name val="Segoe UI"/>
      <family val="0"/>
      <charset val="1"/>
    </font>
    <font>
      <b val="true"/>
      <sz val="12"/>
      <color rgb="FF9C6500"/>
      <name val="Segoe UI"/>
      <family val="0"/>
      <charset val="1"/>
    </font>
    <font>
      <b val="true"/>
      <sz val="12"/>
      <color rgb="FFA53434"/>
      <name val="Segoe UI"/>
      <family val="0"/>
      <charset val="1"/>
    </font>
    <font>
      <sz val="10"/>
      <color rgb="FF404040"/>
      <name val="Segoe UI"/>
      <family val="0"/>
      <charset val="1"/>
    </font>
    <font>
      <b val="true"/>
      <sz val="11"/>
      <color rgb="FFFFFFFF"/>
      <name val="Calibri"/>
      <family val="0"/>
      <charset val="1"/>
    </font>
    <font>
      <sz val="9"/>
      <color rgb="FFFFFFFF"/>
      <name val="Segoe UI"/>
      <family val="0"/>
      <charset val="1"/>
    </font>
    <font>
      <b val="true"/>
      <sz val="10"/>
      <color rgb="FFFFFFFF"/>
      <name val="Calibri"/>
      <family val="0"/>
      <charset val="1"/>
    </font>
    <font>
      <sz val="10"/>
      <color rgb="FF000000"/>
      <name val="Calibri"/>
      <family val="0"/>
      <charset val="1"/>
    </font>
    <font>
      <b val="true"/>
      <sz val="13"/>
      <color rgb="FFFFFFFF"/>
      <name val="Segoe UI"/>
      <family val="0"/>
      <charset val="1"/>
    </font>
    <font>
      <sz val="9"/>
      <color rgb="FF404040"/>
      <name val="Segoe UI"/>
      <family val="0"/>
      <charset val="1"/>
    </font>
    <font>
      <b val="true"/>
      <sz val="10"/>
      <color rgb="FFFFFFFF"/>
      <name val="Segoe UI"/>
      <family val="0"/>
      <charset val="1"/>
    </font>
  </fonts>
  <fills count="12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theme="5"/>
        <bgColor rgb="FFCC4125"/>
      </patternFill>
    </fill>
    <fill>
      <patternFill patternType="solid">
        <fgColor rgb="FF2E75B6"/>
        <bgColor rgb="FF0066CC"/>
      </patternFill>
    </fill>
    <fill>
      <patternFill patternType="solid">
        <fgColor rgb="FFF8F9FA"/>
        <bgColor rgb="FFFFFFFF"/>
      </patternFill>
    </fill>
    <fill>
      <patternFill patternType="solid">
        <fgColor rgb="FF5A5A5A"/>
        <bgColor rgb="FF404040"/>
      </patternFill>
    </fill>
    <fill>
      <patternFill patternType="solid">
        <fgColor rgb="FF404040"/>
        <bgColor rgb="FF2F2F2F"/>
      </patternFill>
    </fill>
    <fill>
      <patternFill patternType="solid">
        <fgColor rgb="FFFFFFFF"/>
        <bgColor rgb="FFF8F9FA"/>
      </patternFill>
    </fill>
    <fill>
      <patternFill patternType="solid">
        <fgColor rgb="FFCC4125"/>
        <bgColor rgb="FFC0504D"/>
      </patternFill>
    </fill>
    <fill>
      <patternFill patternType="solid">
        <fgColor rgb="FFF2F2F2"/>
        <bgColor rgb="FFF8F9FA"/>
      </patternFill>
    </fill>
    <fill>
      <patternFill patternType="solid">
        <fgColor rgb="FFE06666"/>
        <bgColor rgb="FFF8696B"/>
      </patternFill>
    </fill>
  </fills>
  <borders count="5">
    <border diagonalUp="false" diagonalDown="false">
      <left/>
      <right/>
      <top/>
      <bottom/>
      <diagonal/>
    </border>
    <border diagonalUp="false" diagonalDown="false">
      <left style="thin">
        <color rgb="FFAAAAAA"/>
      </left>
      <right/>
      <top style="thin">
        <color rgb="FFAAAAAA"/>
      </top>
      <bottom style="thin">
        <color rgb="FFAAAAAA"/>
      </bottom>
      <diagonal/>
    </border>
    <border diagonalUp="false" diagonalDown="false"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 diagonalUp="false" diagonalDown="false">
      <left style="thin">
        <color rgb="FFAAAAAA"/>
      </left>
      <right style="thin">
        <color rgb="FFAAAAAA"/>
      </right>
      <top style="thin">
        <color rgb="FFAAAAAA"/>
      </top>
      <bottom style="thin">
        <color rgb="FFAAAAAA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3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4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6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7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8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9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1" fillId="0" borderId="1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5" fillId="2" borderId="0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2" fillId="4" borderId="1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6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3" fillId="0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3" fillId="7" borderId="3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14" fillId="0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5" fontId="14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3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3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4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5" fontId="14" fillId="8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6" fontId="14" fillId="8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7" fontId="14" fillId="8" borderId="4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0" fillId="9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5" fillId="2" borderId="0" xfId="0" applyFont="true" applyBorder="false" applyAlignment="true" applyProtection="false">
      <alignment horizontal="center" vertical="center" textRotation="0" wrapText="false" indent="0" shrinkToFit="false"/>
      <protection locked="true" hidden="false"/>
    </xf>
    <xf numFmtId="164" fontId="16" fillId="10" borderId="0" xfId="0" applyFont="true" applyBorder="false" applyAlignment="true" applyProtection="false">
      <alignment horizontal="left" vertical="center" textRotation="0" wrapText="false" indent="0" shrinkToFit="false"/>
      <protection locked="true" hidden="false"/>
    </xf>
    <xf numFmtId="164" fontId="17" fillId="4" borderId="0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7" fillId="2" borderId="2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5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8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0" fillId="11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8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4" fontId="14" fillId="10" borderId="2" xfId="0" applyFont="true" applyBorder="true" applyAlignment="true" applyProtection="false">
      <alignment horizontal="left" vertical="center" textRotation="0" wrapText="false" indent="0" shrinkToFit="false"/>
      <protection locked="true" hidden="false"/>
    </xf>
    <xf numFmtId="164" fontId="14" fillId="10" borderId="2" xfId="0" applyFont="true" applyBorder="true" applyAlignment="true" applyProtection="false">
      <alignment horizontal="left" vertical="center" textRotation="0" wrapText="true" indent="0" shrinkToFit="false"/>
      <protection locked="true" hidden="false"/>
    </xf>
    <xf numFmtId="169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70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8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7" fontId="14" fillId="10" borderId="2" xfId="0" applyFont="true" applyBorder="true" applyAlignment="true" applyProtection="false">
      <alignment horizontal="center" vertical="center" textRotation="0" wrapText="false" indent="0" shrinkToFit="false"/>
      <protection locked="true" hidden="false"/>
    </xf>
    <xf numFmtId="166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70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28">
    <dxf>
      <font>
        <b val="1"/>
        <color rgb="FFFFFFFF"/>
      </font>
      <fill>
        <patternFill>
          <bgColor rgb="FFFF0000"/>
        </patternFill>
      </fill>
    </dxf>
    <dxf>
      <font>
        <b val="1"/>
        <color rgb="FF9C0006"/>
      </font>
      <fill>
        <patternFill>
          <bgColor rgb="FFFFC7CE"/>
        </patternFill>
      </fill>
    </dxf>
    <dxf>
      <font>
        <color rgb="FF9C5700"/>
      </font>
      <fill>
        <patternFill>
          <bgColor rgb="FFFFEB9C"/>
        </patternFill>
      </fill>
    </dxf>
    <dxf>
      <font>
        <color rgb="FF276221"/>
      </font>
      <fill>
        <patternFill>
          <bgColor rgb="FFC6EFCE"/>
        </patternFill>
      </fill>
    </dxf>
    <dxf>
      <fill>
        <patternFill>
          <bgColor rgb="FFF8696B"/>
        </patternFill>
      </fill>
    </dxf>
    <dxf>
      <fill>
        <patternFill>
          <bgColor rgb="FFFFC000"/>
        </patternFill>
      </fill>
    </dxf>
    <dxf>
      <fill>
        <patternFill>
          <bgColor rgb="FFFFEB84"/>
        </patternFill>
      </fill>
    </dxf>
    <dxf>
      <fill>
        <patternFill>
          <bgColor rgb="FFFCE5CD"/>
        </patternFill>
      </fill>
    </dxf>
    <dxf>
      <fill>
        <patternFill>
          <bgColor rgb="FFFFF2CC"/>
        </patternFill>
      </fill>
    </dxf>
    <dxf>
      <fill>
        <patternFill>
          <bgColor rgb="FFF4CCCC"/>
        </patternFill>
      </fill>
    </dxf>
    <dxf>
      <fill>
        <patternFill>
          <bgColor rgb="FFD9EAD3"/>
        </patternFill>
      </fill>
    </dxf>
    <dxf>
      <fill>
        <patternFill patternType="solid">
          <fgColor rgb="FF1F4E79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F2F2F2"/>
          <bgColor rgb="FF000000"/>
        </patternFill>
      </fill>
    </dxf>
    <dxf>
      <fill>
        <patternFill patternType="solid">
          <fgColor rgb="FF1E6B45"/>
          <bgColor rgb="FF000000"/>
        </patternFill>
      </fill>
    </dxf>
    <dxf>
      <fill>
        <patternFill patternType="solid">
          <fgColor rgb="FFC00000"/>
          <bgColor rgb="FF000000"/>
        </patternFill>
      </fill>
    </dxf>
    <dxf>
      <fill>
        <patternFill patternType="solid">
          <fgColor rgb="FFD9EAD3"/>
          <bgColor rgb="FF000000"/>
        </patternFill>
      </fill>
    </dxf>
    <dxf>
      <fill>
        <patternFill patternType="solid">
          <fgColor rgb="FFFFC000"/>
          <bgColor rgb="FF000000"/>
        </patternFill>
      </fill>
    </dxf>
    <dxf>
      <font>
        <b val="1"/>
        <color rgb="FF1E6B45"/>
      </font>
    </dxf>
    <dxf>
      <font>
        <b val="1"/>
        <color rgb="FFC00000"/>
      </font>
    </dxf>
    <dxf>
      <font>
        <b val="1"/>
        <color rgb="FFB8860B"/>
      </font>
    </dxf>
    <dxf>
      <fill>
        <patternFill patternType="solid">
          <fgColor rgb="FF7030A0"/>
          <bgColor rgb="FF000000"/>
        </patternFill>
      </fill>
    </dxf>
    <dxf>
      <fill>
        <patternFill patternType="solid">
          <fgColor rgb="FFB8860B"/>
          <bgColor rgb="FF000000"/>
        </patternFill>
      </fill>
    </dxf>
    <dxf>
      <fill>
        <patternFill patternType="solid">
          <fgColor rgb="FFF4CCCC"/>
          <bgColor rgb="FF000000"/>
        </patternFill>
      </fill>
    </dxf>
    <dxf>
      <fill>
        <patternFill patternType="solid">
          <fgColor rgb="FFFCE5CD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ont>
        <b val="1"/>
        <color rgb="FF7030A0"/>
      </font>
    </dxf>
  </dxfs>
  <colors>
    <indexedColors>
      <rgbColor rgb="FF000000"/>
      <rgbColor rgb="FFFFFFFF"/>
      <rgbColor rgb="FFFF0000"/>
      <rgbColor rgb="FF00FF00"/>
      <rgbColor rgb="FF0000FF"/>
      <rgbColor rgb="FFFFEB84"/>
      <rgbColor rgb="FFFF00FF"/>
      <rgbColor rgb="FF00FFFF"/>
      <rgbColor rgb="FF9C0006"/>
      <rgbColor rgb="FF276221"/>
      <rgbColor rgb="FF000080"/>
      <rgbColor rgb="FF9C6500"/>
      <rgbColor rgb="FFCC4125"/>
      <rgbColor rgb="FF1E6B45"/>
      <rgbColor rgb="FFFFC7CE"/>
      <rgbColor rgb="FFC0504D"/>
      <rgbColor rgb="FF9999FF"/>
      <rgbColor rgb="FFA53434"/>
      <rgbColor rgb="FFFFF2CC"/>
      <rgbColor rgb="FFD9EAD3"/>
      <rgbColor rgb="FF660066"/>
      <rgbColor rgb="FFF8696B"/>
      <rgbColor rgb="FF0066CC"/>
      <rgbColor rgb="FFD9D9D9"/>
      <rgbColor rgb="FF000080"/>
      <rgbColor rgb="FFFF00FF"/>
      <rgbColor rgb="FFFFFF00"/>
      <rgbColor rgb="FF00FFFF"/>
      <rgbColor rgb="FF800080"/>
      <rgbColor rgb="FFC00000"/>
      <rgbColor rgb="FF008080"/>
      <rgbColor rgb="FF0000FF"/>
      <rgbColor rgb="FF00CCFF"/>
      <rgbColor rgb="FFF2F2F2"/>
      <rgbColor rgb="FFC6EFCE"/>
      <rgbColor rgb="FFFFEB9C"/>
      <rgbColor rgb="FFF8F9FA"/>
      <rgbColor rgb="FFFCE5CD"/>
      <rgbColor rgb="FFCC99FF"/>
      <rgbColor rgb="FFF4CCCC"/>
      <rgbColor rgb="FF2E75B6"/>
      <rgbColor rgb="FF33CCCC"/>
      <rgbColor rgb="FF99CC00"/>
      <rgbColor rgb="FFFFC000"/>
      <rgbColor rgb="FFB8860B"/>
      <rgbColor rgb="FFE06666"/>
      <rgbColor rgb="FF5A5A5A"/>
      <rgbColor rgb="FFAAAAAA"/>
      <rgbColor rgb="FF003366"/>
      <rgbColor rgb="FF2E7D32"/>
      <rgbColor rgb="FF003300"/>
      <rgbColor rgb="FF404040"/>
      <rgbColor rgb="FF9C5700"/>
      <rgbColor rgb="FF7030A0"/>
      <rgbColor rgb="FF1F4E79"/>
      <rgbColor rgb="FF2F2F2F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 pitchFamily="0" charset="1"/>
        <a:ea typeface="Calibri" pitchFamily="0" charset="1"/>
        <a:cs typeface="Calibri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_rels/sheet4.xml.rels><?xml version="1.0" encoding="UTF-8"?>
<Relationships xmlns="http://schemas.openxmlformats.org/package/2006/relationships"><Relationship Id="rId1" Type="http://schemas.openxmlformats.org/officeDocument/2006/relationships/drawing" Target="../drawings/drawing3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13" topLeftCell="A14" activePane="bottomLeft" state="frozen"/>
      <selection pane="topLeft" activeCell="A1" activeCellId="0" sqref="A1"/>
      <selection pane="bottomLeft" activeCell="B15" activeCellId="0" sqref="B15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.85"/>
    <col collapsed="false" customWidth="true" hidden="false" outlineLevel="0" max="2" min="2" style="1" width="84.43"/>
    <col collapsed="false" customWidth="true" hidden="false" outlineLevel="0" max="3" min="3" style="1" width="17"/>
    <col collapsed="false" customWidth="true" hidden="false" outlineLevel="0" max="4" min="4" style="1" width="0.43"/>
    <col collapsed="false" customWidth="true" hidden="false" outlineLevel="0" max="5" min="5" style="1" width="36"/>
    <col collapsed="false" customWidth="true" hidden="false" outlineLevel="0" max="6" min="6" style="1" width="16"/>
    <col collapsed="false" customWidth="true" hidden="false" outlineLevel="0" max="7" min="7" style="1" width="14"/>
    <col collapsed="false" customWidth="true" hidden="false" outlineLevel="0" max="8" min="8" style="1" width="32.15"/>
    <col collapsed="false" customWidth="true" hidden="false" outlineLevel="0" max="9" min="9" style="1" width="0.43"/>
    <col collapsed="false" customWidth="true" hidden="true" outlineLevel="0" max="10" min="10" style="1" width="6.85"/>
    <col collapsed="false" customWidth="true" hidden="true" outlineLevel="0" max="11" min="11" style="1" width="8.71"/>
  </cols>
  <sheetData>
    <row r="1" customFormat="false" ht="33.75" hidden="false" customHeight="true" outlineLevel="0" collapsed="false">
      <c r="B1" s="2" t="s">
        <v>0</v>
      </c>
      <c r="C1" s="3"/>
      <c r="D1" s="3"/>
      <c r="E1" s="3"/>
      <c r="F1" s="3"/>
      <c r="G1" s="3"/>
      <c r="H1" s="3"/>
      <c r="I1" s="3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B2" s="4" t="s">
        <v>1</v>
      </c>
      <c r="C2" s="3"/>
      <c r="D2" s="3"/>
      <c r="E2" s="3"/>
      <c r="F2" s="3"/>
      <c r="G2" s="3"/>
      <c r="H2" s="3"/>
      <c r="I2" s="3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9.75" hidden="false" customHeight="true" outlineLevel="0" collapsed="false">
      <c r="B3" s="3"/>
      <c r="C3" s="3"/>
      <c r="D3" s="3"/>
      <c r="E3" s="3"/>
      <c r="F3" s="3"/>
      <c r="G3" s="3"/>
      <c r="H3" s="3"/>
      <c r="I3" s="3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21.75" hidden="false" customHeight="true" outlineLevel="0" collapsed="false">
      <c r="B4" s="5" t="s">
        <v>2</v>
      </c>
      <c r="C4" s="5"/>
      <c r="D4" s="5"/>
      <c r="E4" s="5" t="s">
        <v>3</v>
      </c>
      <c r="F4" s="5"/>
      <c r="G4" s="5"/>
      <c r="H4" s="5" t="s">
        <v>4</v>
      </c>
      <c r="I4" s="5"/>
      <c r="J4" s="5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36" hidden="false" customHeight="true" outlineLevel="0" collapsed="false">
      <c r="B5" s="6" t="str">
        <f aca="false">"TOTAL: "&amp;COUNTA(VEICULOS!C6:C35)</f>
        <v>TOTAL: 28</v>
      </c>
      <c r="C5" s="6"/>
      <c r="D5" s="6"/>
      <c r="E5" s="6" t="str">
        <f aca="false">"TOTAL: "&amp;COUNTA(CONDUTORES!E6:E95)</f>
        <v>TOTAL: 88</v>
      </c>
      <c r="F5" s="6"/>
      <c r="G5" s="6"/>
      <c r="H5" s="6" t="str">
        <f aca="false">"TOTAL: "&amp;COUNTA(FUNCIONARIOS!B6:B20)</f>
        <v>TOTAL: 8</v>
      </c>
      <c r="I5" s="6"/>
      <c r="J5" s="6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9.5" hidden="false" customHeight="true" outlineLevel="0" collapsed="false">
      <c r="B6" s="7" t="str">
        <f aca="false">"✅  TEM PERFIL:  "&amp;COUNTIF(VEICULOS!D6:D35,"TEM PERFIL")</f>
        <v>✅  TEM PERFIL:  23</v>
      </c>
      <c r="C6" s="7"/>
      <c r="D6" s="7"/>
      <c r="E6" s="7" t="str">
        <f aca="false">"✅  TEM PERFIL:  "&amp;COUNTIF(CONDUTORES!F6:F95,"TEM PERFIL")</f>
        <v>✅  TEM PERFIL:  71</v>
      </c>
      <c r="F6" s="7"/>
      <c r="G6" s="7"/>
      <c r="H6" s="7" t="str">
        <f aca="false">"✅  TEM PERFIL:  "&amp;COUNTIF(FUNCIONARIOS!D6:D20,"TEM PERFIL")</f>
        <v>✅  TEM PERFIL:  7</v>
      </c>
      <c r="I6" s="7"/>
      <c r="J6" s="7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9.5" hidden="false" customHeight="true" outlineLevel="0" collapsed="false">
      <c r="B7" s="8" t="str">
        <f aca="false">"🕓  AGUARDANDO RETORNO:  "&amp;COUNTIF(VEICULOS!D6:D35,"AGUARDANDO RETORNO")</f>
        <v>🕓  AGUARDANDO RETORNO:  0</v>
      </c>
      <c r="C7" s="8"/>
      <c r="D7" s="8"/>
      <c r="E7" s="8" t="str">
        <f aca="false">"🕓  AGUARDANDO RETORNO:  "&amp;COUNTIF(CONDUTORES!F6:F95,"AGUARDANDO RETORNO")</f>
        <v>🕓  AGUARDANDO RETORNO:  1</v>
      </c>
      <c r="F7" s="8"/>
      <c r="G7" s="8"/>
      <c r="H7" s="8" t="str">
        <f aca="false">"🕓  AGUARDANDO RETORNO:  "&amp;COUNTIF(FUNCIONARIOS!D6:D20,"AGUARDANDO RETORNO")</f>
        <v>🕓  AGUARDANDO RETORNO:  0</v>
      </c>
      <c r="I7" s="8"/>
      <c r="J7" s="8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9.5" hidden="false" customHeight="true" outlineLevel="0" collapsed="false">
      <c r="B8" s="9" t="str">
        <f aca="false">"❌  NÃO TEM PERFIL:  "&amp;COUNTIF(VEICULOS!D6:D35,"NÃO TEM PERFIL")</f>
        <v>❌  NÃO TEM PERFIL:  4</v>
      </c>
      <c r="C8" s="9"/>
      <c r="D8" s="9"/>
      <c r="E8" s="9" t="str">
        <f aca="false">"❌  NÃO TEM PERFIL:  "&amp;COUNTIF(CONDUTORES!F6:F95,"NÃO TEM PERFIL")</f>
        <v>❌  NÃO TEM PERFIL:  11</v>
      </c>
      <c r="F8" s="9"/>
      <c r="G8" s="9"/>
      <c r="H8" s="9" t="str">
        <f aca="false">"❌  NÃO TEM PERFIL:  "&amp;COUNTIF(FUNCIONARIOS!D6:D20,"NÃO TEM PERFIL")</f>
        <v>❌  NÃO TEM PERFIL:  1</v>
      </c>
      <c r="I8" s="9"/>
      <c r="J8" s="9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8" hidden="false" customHeight="true" outlineLevel="0" collapsed="false">
      <c r="B9" s="10" t="str">
        <f aca="false">TEXT(IFERROR(COUNTIF(VEICULOS!D6:D35,"TEM PERFIL")/COUNTA(VEICULOS!C6:C35),0),"0%")&amp;" com perfil"</f>
        <v>82% com perfil</v>
      </c>
      <c r="C9" s="10"/>
      <c r="D9" s="10"/>
      <c r="E9" s="10" t="str">
        <f aca="false">TEXT(IFERROR(COUNTIF(CONDUTORES!F6:F95,"TEM PERFIL")/COUNTA(CONDUTORES!E6:E95),0),"0%")&amp;" com perfil"</f>
        <v>81% com perfil</v>
      </c>
      <c r="F9" s="10"/>
      <c r="G9" s="10"/>
      <c r="H9" s="10" t="str">
        <f aca="false">TEXT(IFERROR(COUNTIF(FUNCIONARIOS!D6:D20,"TEM PERFIL")/COUNTA(FUNCIONARIOS!B6:B20),0),"0%")&amp;" com perfil"</f>
        <v>88% com perfil</v>
      </c>
      <c r="I9" s="10"/>
      <c r="J9" s="10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9.75" hidden="false" customHeight="true" outlineLevel="0" collapsed="false">
      <c r="B10" s="1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21.75" hidden="false" customHeight="true" outlineLevel="0" collapsed="false">
      <c r="B11" s="12" t="str">
        <f aca="false">"TOTAL GERAL:  "&amp;(COUNTA(VEICULOS!C6:C35)+COUNTA(CONDUTORES!E6:E95)+COUNTA(FUNCIONARIOS!B6:B20))&amp;" registros     |     TEM PERFIL: "&amp;(COUNTIF(VEICULOS!D6:D35,"TEM PERFIL")+COUNTIF(CONDUTORES!F6:F95,"TEM PERFIL")+COUNTIF(FUNCIONARIOS!D6:D20,"TEM PERFIL"))&amp;"     |     AGUARDANDO: "&amp;(COUNTIF(VEICULOS!D6:D35,"AGUARDANDO RETORNO")+COUNTIF(CONDUTORES!F6:F95,"AGUARDANDO RETORNO")+COUNTIF(FUNCIONARIOS!D6:D20,"AGUARDANDO RETORNO"))&amp;"     |     PENDENTES: "&amp;(COUNTIF(VEICULOS!D6:D35,"NÃO TEM PERFIL")+COUNTIF(CONDUTORES!F6:F95,"NÃO TEM PERFIL")+COUNTIF(FUNCIONARIOS!D6:D20,"NÃO TEM PERFIL"))&amp;"     |     DIVERGENTES/INVÁLIDOS: "&amp;(COUNTIF(CONDUTORES!F6:F95,"DADOS DIVERGENTES")+COUNTIF(CONDUTORES!F6:F95,"DADOS INVÁLIDOS"))</f>
        <v>TOTAL GERAL:  124 registros     |     TEM PERFIL: 101     |     AGUARDANDO: 1     |     PENDENTES: 16     |     DIVERGENTES/INVÁLIDOS: 2</v>
      </c>
      <c r="C11" s="12"/>
      <c r="D11" s="12"/>
      <c r="E11" s="12"/>
      <c r="F11" s="12"/>
      <c r="G11" s="12"/>
      <c r="H11" s="12"/>
      <c r="I11" s="12"/>
      <c r="J11" s="12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3.5" hidden="false" customHeight="true" outlineLevel="0" collapsed="false">
      <c r="B12" s="13" t="s">
        <v>5</v>
      </c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8" hidden="false" customHeight="true" outlineLevel="0" collapsed="false">
      <c r="B13" s="14" t="s">
        <v>6</v>
      </c>
      <c r="C13" s="14"/>
      <c r="D13" s="14"/>
      <c r="E13" s="14"/>
      <c r="F13" s="14"/>
      <c r="G13" s="14"/>
      <c r="H13" s="14"/>
      <c r="I13" s="15"/>
      <c r="J13" s="15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21.75" hidden="false" customHeight="true" outlineLevel="0" collapsed="false">
      <c r="B14" s="16" t="s">
        <v>7</v>
      </c>
      <c r="C14" s="16" t="s">
        <v>8</v>
      </c>
      <c r="D14" s="16" t="s">
        <v>9</v>
      </c>
      <c r="E14" s="16" t="s">
        <v>10</v>
      </c>
      <c r="F14" s="16" t="s">
        <v>11</v>
      </c>
      <c r="G14" s="16" t="s">
        <v>12</v>
      </c>
      <c r="H14" s="16" t="s">
        <v>13</v>
      </c>
      <c r="I14" s="17"/>
      <c r="J14" s="17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6.5" hidden="false" customHeight="true" outlineLevel="0" collapsed="false">
      <c r="B15" s="18" t="n">
        <f aca="false">IF($K15&gt;=9999999,"",1)</f>
        <v>1</v>
      </c>
      <c r="C15" s="18" t="str">
        <f aca="false" t="array" ref="C15:C15">IF($K15&gt;=9999999,"",INDEX(BASE!$A$2:$A$136,MATCH($K15,BASE!$G$2:$G$136,0)))</f>
        <v>Condutor</v>
      </c>
      <c r="D15" s="18" t="str">
        <f aca="false" t="array" ref="D15:D15">IF($K15&gt;=9999999,"",INDEX(BASE!$B$2:$B$136,MATCH($K15,BASE!$G$2:$G$136,0)))</f>
        <v>057.369.074-02</v>
      </c>
      <c r="E15" s="19" t="str">
        <f aca="false" t="array" ref="E15:E15">IF($K15&gt;=9999999,"",IF(INDEX(BASE!$C$2:$C$136,MATCH($K15,BASE!$G$2:$G$136,0))=0,"",INDEX(BASE!$C$2:$C$136,MATCH($K15,BASE!$G$2:$G$136,0))))</f>
        <v>VALDO SANTOS DA SILVA</v>
      </c>
      <c r="F15" s="18" t="str">
        <f aca="false" t="array" ref="F15:F15">IF($K15&gt;=9999999,"",INDEX(BASE!$D$2:$D$136,MATCH($K15,BASE!$G$2:$G$136,0)))</f>
        <v>TEM PERFIL</v>
      </c>
      <c r="G15" s="20" t="str">
        <f aca="false" t="array" ref="G15:G15">IF($K15&gt;=9999999,"",INDEX(BASE!$E$2:$E$136,MATCH($K15,BASE!$G$2:$G$136,0)))</f>
        <v>29/07/2026</v>
      </c>
      <c r="H15" s="18" t="n">
        <f aca="false" t="array" ref="H15:H15">IF($K15&gt;=9999999,"",INDEX(BASE!$F$2:$F$136,MATCH($K15,BASE!$G$2:$G$136,0)))</f>
        <v>-37</v>
      </c>
      <c r="I15" s="17"/>
      <c r="J15" s="17"/>
      <c r="K15" s="1" t="n">
        <f aca="false">SMALL(BASE!$G$2:$G$136,1)</f>
        <v>-36.99933</v>
      </c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6.5" hidden="false" customHeight="true" outlineLevel="0" collapsed="false">
      <c r="B16" s="18" t="n">
        <f aca="false">IF($K16&gt;=9999999,"",2)</f>
        <v>2</v>
      </c>
      <c r="C16" s="18" t="str">
        <f aca="false" t="array" ref="C16:C16">IF($K16&gt;=9999999,"",INDEX(BASE!$A$2:$A$136,MATCH($K16,BASE!$G$2:$G$136,0)))</f>
        <v>Condutor</v>
      </c>
      <c r="D16" s="18" t="str">
        <f aca="false" t="array" ref="D16:D16">IF($K16&gt;=9999999,"",INDEX(BASE!$B$2:$B$136,MATCH($K16,BASE!$G$2:$G$136,0)))</f>
        <v>183.486.227-21</v>
      </c>
      <c r="E16" s="19" t="str">
        <f aca="false" t="array" ref="E16:E16">IF($K16&gt;=9999999,"",IF(INDEX(BASE!$C$2:$C$136,MATCH($K16,BASE!$G$2:$G$136,0))=0,"",INDEX(BASE!$C$2:$C$136,MATCH($K16,BASE!$G$2:$G$136,0))))</f>
        <v>IGOR GOMES BENTO</v>
      </c>
      <c r="F16" s="18" t="str">
        <f aca="false" t="array" ref="F16:F16">IF($K16&gt;=9999999,"",INDEX(BASE!$D$2:$D$136,MATCH($K16,BASE!$G$2:$G$136,0)))</f>
        <v>TEM PERFIL</v>
      </c>
      <c r="G16" s="20" t="str">
        <f aca="false" t="array" ref="G16:G16">IF($K16&gt;=9999999,"",INDEX(BASE!$E$2:$E$136,MATCH($K16,BASE!$G$2:$G$136,0)))</f>
        <v>11/08/2026</v>
      </c>
      <c r="H16" s="18" t="n">
        <f aca="false" t="array" ref="H16:H16">IF($K16&gt;=9999999,"",INDEX(BASE!$F$2:$F$136,MATCH($K16,BASE!$G$2:$G$136,0)))</f>
        <v>-24</v>
      </c>
      <c r="I16" s="17"/>
      <c r="J16" s="17"/>
      <c r="K16" s="1" t="n">
        <f aca="false">SMALL(BASE!$G$2:$G$136,2)</f>
        <v>-23.99953</v>
      </c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6.5" hidden="false" customHeight="true" outlineLevel="0" collapsed="false">
      <c r="B17" s="18" t="n">
        <f aca="false">IF($K17&gt;=9999999,"",3)</f>
        <v>3</v>
      </c>
      <c r="C17" s="18" t="str">
        <f aca="false" t="array" ref="C17:C17">IF($K17&gt;=9999999,"",INDEX(BASE!$A$2:$A$136,MATCH($K17,BASE!$G$2:$G$136,0)))</f>
        <v>Condutor</v>
      </c>
      <c r="D17" s="18" t="str">
        <f aca="false" t="array" ref="D17:D17">IF($K17&gt;=9999999,"",INDEX(BASE!$B$2:$B$136,MATCH($K17,BASE!$G$2:$G$136,0)))</f>
        <v>034.192.451-22</v>
      </c>
      <c r="E17" s="19" t="str">
        <f aca="false" t="array" ref="E17:E17">IF($K17&gt;=9999999,"",IF(INDEX(BASE!$C$2:$C$136,MATCH($K17,BASE!$G$2:$G$136,0))=0,"",INDEX(BASE!$C$2:$C$136,MATCH($K17,BASE!$G$2:$G$136,0))))</f>
        <v>THIAGO HERCULANO DE CARVALHO MAGALHAES</v>
      </c>
      <c r="F17" s="18" t="str">
        <f aca="false" t="array" ref="F17:F17">IF($K17&gt;=9999999,"",INDEX(BASE!$D$2:$D$136,MATCH($K17,BASE!$G$2:$G$136,0)))</f>
        <v>TEM PERFIL</v>
      </c>
      <c r="G17" s="20" t="str">
        <f aca="false" t="array" ref="G17:G17">IF($K17&gt;=9999999,"",INDEX(BASE!$E$2:$E$136,MATCH($K17,BASE!$G$2:$G$136,0)))</f>
        <v>10/09/2026</v>
      </c>
      <c r="H17" s="18" t="n">
        <f aca="false" t="array" ref="H17:H17">IF($K17&gt;=9999999,"",INDEX(BASE!$F$2:$F$136,MATCH($K17,BASE!$G$2:$G$136,0)))</f>
        <v>6</v>
      </c>
      <c r="I17" s="17"/>
      <c r="J17" s="17"/>
      <c r="K17" s="1" t="n">
        <f aca="false">SMALL(BASE!$G$2:$G$136,3)</f>
        <v>6.00065</v>
      </c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6.5" hidden="false" customHeight="true" outlineLevel="0" collapsed="false">
      <c r="B18" s="18" t="n">
        <f aca="false">IF($K18&gt;=9999999,"",4)</f>
        <v>4</v>
      </c>
      <c r="C18" s="18" t="str">
        <f aca="false" t="array" ref="C18:C18">IF($K18&gt;=9999999,"",INDEX(BASE!$A$2:$A$136,MATCH($K18,BASE!$G$2:$G$136,0)))</f>
        <v>Veículo</v>
      </c>
      <c r="D18" s="18" t="str">
        <f aca="false" t="array" ref="D18:D18">IF($K18&gt;=9999999,"",INDEX(BASE!$B$2:$B$136,MATCH($K18,BASE!$G$2:$G$136,0)))</f>
        <v>SWH3H91</v>
      </c>
      <c r="E18" s="19" t="str">
        <f aca="false" t="array" ref="E18:E18">IF($K18&gt;=9999999,"",IF(INDEX(BASE!$C$2:$C$136,MATCH($K18,BASE!$G$2:$G$136,0))=0,"",INDEX(BASE!$C$2:$C$136,MATCH($K18,BASE!$G$2:$G$136,0))))</f>
        <v/>
      </c>
      <c r="F18" s="18" t="str">
        <f aca="false" t="array" ref="F18:F18">IF($K18&gt;=9999999,"",INDEX(BASE!$D$2:$D$136,MATCH($K18,BASE!$G$2:$G$136,0)))</f>
        <v>TEM PERFIL</v>
      </c>
      <c r="G18" s="20" t="str">
        <f aca="false" t="array" ref="G18:G18">IF($K18&gt;=9999999,"",INDEX(BASE!$E$2:$E$136,MATCH($K18,BASE!$G$2:$G$136,0)))</f>
        <v>19/09/2026</v>
      </c>
      <c r="H18" s="18" t="n">
        <f aca="false" t="array" ref="H18:H18">IF($K18&gt;=9999999,"",INDEX(BASE!$F$2:$F$136,MATCH($K18,BASE!$G$2:$G$136,0)))</f>
        <v>15</v>
      </c>
      <c r="I18" s="17"/>
      <c r="J18" s="17"/>
      <c r="K18" s="1" t="n">
        <f aca="false">SMALL(BASE!$G$2:$G$136,4)</f>
        <v>15.00012</v>
      </c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6.5" hidden="false" customHeight="true" outlineLevel="0" collapsed="false">
      <c r="B19" s="18" t="n">
        <f aca="false">IF($K19&gt;=9999999,"",5)</f>
        <v>5</v>
      </c>
      <c r="C19" s="18" t="str">
        <f aca="false" t="array" ref="C19:C19">IF($K19&gt;=9999999,"",INDEX(BASE!$A$2:$A$136,MATCH($K19,BASE!$G$2:$G$136,0)))</f>
        <v>Condutor</v>
      </c>
      <c r="D19" s="18" t="str">
        <f aca="false" t="array" ref="D19:D19">IF($K19&gt;=9999999,"",INDEX(BASE!$B$2:$B$136,MATCH($K19,BASE!$G$2:$G$136,0)))</f>
        <v>075.344.591-33</v>
      </c>
      <c r="E19" s="19" t="str">
        <f aca="false" t="array" ref="E19:E19">IF($K19&gt;=9999999,"",IF(INDEX(BASE!$C$2:$C$136,MATCH($K19,BASE!$G$2:$G$136,0))=0,"",INDEX(BASE!$C$2:$C$136,MATCH($K19,BASE!$G$2:$G$136,0))))</f>
        <v>STANLEY JUNIO LIMA NOVAIS</v>
      </c>
      <c r="F19" s="18" t="str">
        <f aca="false" t="array" ref="F19:F19">IF($K19&gt;=9999999,"",INDEX(BASE!$D$2:$D$136,MATCH($K19,BASE!$G$2:$G$136,0)))</f>
        <v>TEM PERFIL</v>
      </c>
      <c r="G19" s="20" t="str">
        <f aca="false" t="array" ref="G19:G19">IF($K19&gt;=9999999,"",INDEX(BASE!$E$2:$E$136,MATCH($K19,BASE!$G$2:$G$136,0)))</f>
        <v>19/10/2026</v>
      </c>
      <c r="H19" s="18" t="n">
        <f aca="false" t="array" ref="H19:H19">IF($K19&gt;=9999999,"",INDEX(BASE!$F$2:$F$136,MATCH($K19,BASE!$G$2:$G$136,0)))</f>
        <v>45</v>
      </c>
      <c r="I19" s="17"/>
      <c r="J19" s="17"/>
      <c r="K19" s="1" t="n">
        <f aca="false">SMALL(BASE!$G$2:$G$136,5)</f>
        <v>45.00063</v>
      </c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6.5" hidden="false" customHeight="true" outlineLevel="0" collapsed="false">
      <c r="B20" s="18" t="n">
        <f aca="false">IF($K20&gt;=9999999,"",6)</f>
        <v>6</v>
      </c>
      <c r="C20" s="18" t="str">
        <f aca="false" t="array" ref="C20:C20">IF($K20&gt;=9999999,"",INDEX(BASE!$A$2:$A$136,MATCH($K20,BASE!$G$2:$G$136,0)))</f>
        <v>Condutor</v>
      </c>
      <c r="D20" s="18" t="str">
        <f aca="false" t="array" ref="D20:D20">IF($K20&gt;=9999999,"",INDEX(BASE!$B$2:$B$136,MATCH($K20,BASE!$G$2:$G$136,0)))</f>
        <v>412.668.868-42</v>
      </c>
      <c r="E20" s="19" t="str">
        <f aca="false" t="array" ref="E20:E20">IF($K20&gt;=9999999,"",IF(INDEX(BASE!$C$2:$C$136,MATCH($K20,BASE!$G$2:$G$136,0))=0,"",INDEX(BASE!$C$2:$C$136,MATCH($K20,BASE!$G$2:$G$136,0))))</f>
        <v>WALLAS ARAUJO MOTA</v>
      </c>
      <c r="F20" s="18" t="str">
        <f aca="false" t="array" ref="F20:F20">IF($K20&gt;=9999999,"",INDEX(BASE!$D$2:$D$136,MATCH($K20,BASE!$G$2:$G$136,0)))</f>
        <v>TEM PERFIL</v>
      </c>
      <c r="G20" s="20" t="str">
        <f aca="false" t="array" ref="G20:G20">IF($K20&gt;=9999999,"",INDEX(BASE!$E$2:$E$136,MATCH($K20,BASE!$G$2:$G$136,0)))</f>
        <v>19/10/2026</v>
      </c>
      <c r="H20" s="18" t="n">
        <f aca="false" t="array" ref="H20:H20">IF($K20&gt;=9999999,"",INDEX(BASE!$F$2:$F$136,MATCH($K20,BASE!$G$2:$G$136,0)))</f>
        <v>45</v>
      </c>
      <c r="I20" s="17"/>
      <c r="J20" s="17"/>
      <c r="K20" s="1" t="n">
        <f aca="false">SMALL(BASE!$G$2:$G$136,6)</f>
        <v>45.00069</v>
      </c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6.5" hidden="false" customHeight="true" outlineLevel="0" collapsed="false">
      <c r="B21" s="18" t="n">
        <f aca="false">IF($K21&gt;=9999999,"",7)</f>
        <v>7</v>
      </c>
      <c r="C21" s="18" t="str">
        <f aca="false" t="array" ref="C21:C21">IF($K21&gt;=9999999,"",INDEX(BASE!$A$2:$A$136,MATCH($K21,BASE!$G$2:$G$136,0)))</f>
        <v>Condutor</v>
      </c>
      <c r="D21" s="18" t="str">
        <f aca="false" t="array" ref="D21:D21">IF($K21&gt;=9999999,"",INDEX(BASE!$B$2:$B$136,MATCH($K21,BASE!$G$2:$G$136,0)))</f>
        <v>216.652.778-74</v>
      </c>
      <c r="E21" s="19" t="str">
        <f aca="false" t="array" ref="E21:E21">IF($K21&gt;=9999999,"",IF(INDEX(BASE!$C$2:$C$136,MATCH($K21,BASE!$G$2:$G$136,0))=0,"",INDEX(BASE!$C$2:$C$136,MATCH($K21,BASE!$G$2:$G$136,0))))</f>
        <v>HEBER AUGUSTO BARBOSA DE SOUZA</v>
      </c>
      <c r="F21" s="18" t="str">
        <f aca="false" t="array" ref="F21:F21">IF($K21&gt;=9999999,"",INDEX(BASE!$D$2:$D$136,MATCH($K21,BASE!$G$2:$G$136,0)))</f>
        <v>TEM PERFIL</v>
      </c>
      <c r="G21" s="20" t="n">
        <f aca="false" t="array" ref="G21:G21">IF($K21&gt;=9999999,"",INDEX(BASE!$E$2:$E$136,MATCH($K21,BASE!$G$2:$G$136,0)))</f>
        <v>46336</v>
      </c>
      <c r="H21" s="18" t="n">
        <f aca="false" t="array" ref="H21:H21">IF($K21&gt;=9999999,"",INDEX(BASE!$F$2:$F$136,MATCH($K21,BASE!$G$2:$G$136,0)))</f>
        <v>67</v>
      </c>
      <c r="I21" s="17"/>
      <c r="J21" s="17"/>
      <c r="K21" s="1" t="n">
        <f aca="false">SMALL(BASE!$G$2:$G$136,7)</f>
        <v>67.00046</v>
      </c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6.5" hidden="false" customHeight="true" outlineLevel="0" collapsed="false">
      <c r="B22" s="18" t="n">
        <f aca="false">IF($K22&gt;=9999999,"",8)</f>
        <v>8</v>
      </c>
      <c r="C22" s="18" t="str">
        <f aca="false" t="array" ref="C22:C22">IF($K22&gt;=9999999,"",INDEX(BASE!$A$2:$A$136,MATCH($K22,BASE!$G$2:$G$136,0)))</f>
        <v>Condutor</v>
      </c>
      <c r="D22" s="18" t="str">
        <f aca="false" t="array" ref="D22:D22">IF($K22&gt;=9999999,"",INDEX(BASE!$B$2:$B$136,MATCH($K22,BASE!$G$2:$G$136,0)))</f>
        <v>505.186.938-64</v>
      </c>
      <c r="E22" s="19" t="str">
        <f aca="false" t="array" ref="E22:E22">IF($K22&gt;=9999999,"",IF(INDEX(BASE!$C$2:$C$136,MATCH($K22,BASE!$G$2:$G$136,0))=0,"",INDEX(BASE!$C$2:$C$136,MATCH($K22,BASE!$G$2:$G$136,0))))</f>
        <v>BRUNO GONCALVES EVANGELISTA</v>
      </c>
      <c r="F22" s="18" t="str">
        <f aca="false" t="array" ref="F22:F22">IF($K22&gt;=9999999,"",INDEX(BASE!$D$2:$D$136,MATCH($K22,BASE!$G$2:$G$136,0)))</f>
        <v>TEM PERFIL</v>
      </c>
      <c r="G22" s="20" t="str">
        <f aca="false" t="array" ref="G22:G22">IF($K22&gt;=9999999,"",INDEX(BASE!$E$2:$E$136,MATCH($K22,BASE!$G$2:$G$136,0)))</f>
        <v>16/12/2026</v>
      </c>
      <c r="H22" s="18" t="n">
        <f aca="false" t="array" ref="H22:H22">IF($K22&gt;=9999999,"",INDEX(BASE!$F$2:$F$136,MATCH($K22,BASE!$G$2:$G$136,0)))</f>
        <v>103</v>
      </c>
      <c r="I22" s="17"/>
      <c r="J22" s="17"/>
      <c r="K22" s="1" t="n">
        <f aca="false">SMALL(BASE!$G$2:$G$136,8)</f>
        <v>103.00038</v>
      </c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6.5" hidden="false" customHeight="true" outlineLevel="0" collapsed="false">
      <c r="B23" s="18" t="n">
        <f aca="false">IF($K23&gt;=9999999,"",9)</f>
        <v>9</v>
      </c>
      <c r="C23" s="18" t="str">
        <f aca="false" t="array" ref="C23:C23">IF($K23&gt;=9999999,"",INDEX(BASE!$A$2:$A$136,MATCH($K23,BASE!$G$2:$G$136,0)))</f>
        <v>Condutor</v>
      </c>
      <c r="D23" s="18" t="str">
        <f aca="false" t="array" ref="D23:D23">IF($K23&gt;=9999999,"",INDEX(BASE!$B$2:$B$136,MATCH($K23,BASE!$G$2:$G$136,0)))</f>
        <v>090.596.477-26</v>
      </c>
      <c r="E23" s="19" t="str">
        <f aca="false" t="array" ref="E23:E23">IF($K23&gt;=9999999,"",IF(INDEX(BASE!$C$2:$C$136,MATCH($K23,BASE!$G$2:$G$136,0))=0,"",INDEX(BASE!$C$2:$C$136,MATCH($K23,BASE!$G$2:$G$136,0))))</f>
        <v>MARCIO EDUARDO DE LIMA ALVES</v>
      </c>
      <c r="F23" s="18" t="str">
        <f aca="false" t="array" ref="F23:F23">IF($K23&gt;=9999999,"",INDEX(BASE!$D$2:$D$136,MATCH($K23,BASE!$G$2:$G$136,0)))</f>
        <v>TEM PERFIL</v>
      </c>
      <c r="G23" s="20" t="str">
        <f aca="false" t="array" ref="G23:G23">IF($K23&gt;=9999999,"",INDEX(BASE!$E$2:$E$136,MATCH($K23,BASE!$G$2:$G$136,0)))</f>
        <v>16/12/2026</v>
      </c>
      <c r="H23" s="18" t="n">
        <f aca="false" t="array" ref="H23:H23">IF($K23&gt;=9999999,"",INDEX(BASE!$F$2:$F$136,MATCH($K23,BASE!$G$2:$G$136,0)))</f>
        <v>103</v>
      </c>
      <c r="I23" s="17"/>
      <c r="J23" s="17"/>
      <c r="K23" s="1" t="n">
        <f aca="false">SMALL(BASE!$G$2:$G$136,9)</f>
        <v>103.00055</v>
      </c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6.5" hidden="false" customHeight="true" outlineLevel="0" collapsed="false">
      <c r="B24" s="18" t="n">
        <f aca="false">IF($K24&gt;=9999999,"",10)</f>
        <v>10</v>
      </c>
      <c r="C24" s="18" t="str">
        <f aca="false" t="array" ref="C24:C24">IF($K24&gt;=9999999,"",INDEX(BASE!$A$2:$A$136,MATCH($K24,BASE!$G$2:$G$136,0)))</f>
        <v>Condutor</v>
      </c>
      <c r="D24" s="18" t="str">
        <f aca="false" t="array" ref="D24:D24">IF($K24&gt;=9999999,"",INDEX(BASE!$B$2:$B$136,MATCH($K24,BASE!$G$2:$G$136,0)))</f>
        <v>121.645.977-02</v>
      </c>
      <c r="E24" s="19" t="str">
        <f aca="false" t="array" ref="E24:E24">IF($K24&gt;=9999999,"",IF(INDEX(BASE!$C$2:$C$136,MATCH($K24,BASE!$G$2:$G$136,0))=0,"",INDEX(BASE!$C$2:$C$136,MATCH($K24,BASE!$G$2:$G$136,0))))</f>
        <v>PEDRO SOUZA FILHO</v>
      </c>
      <c r="F24" s="18" t="str">
        <f aca="false" t="array" ref="F24:F24">IF($K24&gt;=9999999,"",INDEX(BASE!$D$2:$D$136,MATCH($K24,BASE!$G$2:$G$136,0)))</f>
        <v>TEM PERFIL</v>
      </c>
      <c r="G24" s="20" t="str">
        <f aca="false" t="array" ref="G24:G24">IF($K24&gt;=9999999,"",INDEX(BASE!$E$2:$E$136,MATCH($K24,BASE!$G$2:$G$136,0)))</f>
        <v>16/12/2026</v>
      </c>
      <c r="H24" s="18" t="n">
        <f aca="false" t="array" ref="H24:H24">IF($K24&gt;=9999999,"",INDEX(BASE!$F$2:$F$136,MATCH($K24,BASE!$G$2:$G$136,0)))</f>
        <v>103</v>
      </c>
      <c r="I24" s="17"/>
      <c r="J24" s="17"/>
      <c r="K24" s="1" t="n">
        <f aca="false">SMALL(BASE!$G$2:$G$136,10)</f>
        <v>103.0006</v>
      </c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6.5" hidden="false" customHeight="true" outlineLevel="0" collapsed="false">
      <c r="B25" s="18" t="n">
        <f aca="false">IF($K25&gt;=9999999,"",11)</f>
        <v>11</v>
      </c>
      <c r="C25" s="18" t="str">
        <f aca="false" t="array" ref="C25:C25">IF($K25&gt;=9999999,"",INDEX(BASE!$A$2:$A$136,MATCH($K25,BASE!$G$2:$G$136,0)))</f>
        <v>Condutor</v>
      </c>
      <c r="D25" s="18" t="str">
        <f aca="false" t="array" ref="D25:D25">IF($K25&gt;=9999999,"",INDEX(BASE!$B$2:$B$136,MATCH($K25,BASE!$G$2:$G$136,0)))</f>
        <v>113.697.736-84</v>
      </c>
      <c r="E25" s="19" t="str">
        <f aca="false" t="array" ref="E25:E25">IF($K25&gt;=9999999,"",IF(INDEX(BASE!$C$2:$C$136,MATCH($K25,BASE!$G$2:$G$136,0))=0,"",INDEX(BASE!$C$2:$C$136,MATCH($K25,BASE!$G$2:$G$136,0))))</f>
        <v>PHILIPPE GERMANO MAGALHAES DE SOUZA</v>
      </c>
      <c r="F25" s="18" t="str">
        <f aca="false" t="array" ref="F25:F25">IF($K25&gt;=9999999,"",INDEX(BASE!$D$2:$D$136,MATCH($K25,BASE!$G$2:$G$136,0)))</f>
        <v>TEM PERFIL</v>
      </c>
      <c r="G25" s="20" t="str">
        <f aca="false" t="array" ref="G25:G25">IF($K25&gt;=9999999,"",INDEX(BASE!$E$2:$E$136,MATCH($K25,BASE!$G$2:$G$136,0)))</f>
        <v>16/12/2026</v>
      </c>
      <c r="H25" s="18" t="n">
        <f aca="false" t="array" ref="H25:H25">IF($K25&gt;=9999999,"",INDEX(BASE!$F$2:$F$136,MATCH($K25,BASE!$G$2:$G$136,0)))</f>
        <v>103</v>
      </c>
      <c r="I25" s="17"/>
      <c r="J25" s="17"/>
      <c r="K25" s="1" t="n">
        <f aca="false">SMALL(BASE!$G$2:$G$136,11)</f>
        <v>103.00061</v>
      </c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6.5" hidden="false" customHeight="true" outlineLevel="0" collapsed="false">
      <c r="B26" s="18" t="n">
        <f aca="false">IF($K26&gt;=9999999,"",12)</f>
        <v>12</v>
      </c>
      <c r="C26" s="18" t="str">
        <f aca="false" t="array" ref="C26:C26">IF($K26&gt;=9999999,"",INDEX(BASE!$A$2:$A$136,MATCH($K26,BASE!$G$2:$G$136,0)))</f>
        <v>Condutor</v>
      </c>
      <c r="D26" s="18" t="str">
        <f aca="false" t="array" ref="D26:D26">IF($K26&gt;=9999999,"",INDEX(BASE!$B$2:$B$136,MATCH($K26,BASE!$G$2:$G$136,0)))</f>
        <v>18665936769</v>
      </c>
      <c r="E26" s="19" t="str">
        <f aca="false" t="array" ref="E26:E26">IF($K26&gt;=9999999,"",IF(INDEX(BASE!$C$2:$C$136,MATCH($K26,BASE!$G$2:$G$136,0))=0,"",INDEX(BASE!$C$2:$C$136,MATCH($K26,BASE!$G$2:$G$136,0))))</f>
        <v>BRENNER FONSECA DO SERRO</v>
      </c>
      <c r="F26" s="18" t="str">
        <f aca="false" t="array" ref="F26:F26">IF($K26&gt;=9999999,"",INDEX(BASE!$D$2:$D$136,MATCH($K26,BASE!$G$2:$G$136,0)))</f>
        <v>TEM PERFIL</v>
      </c>
      <c r="G26" s="20" t="str">
        <f aca="false" t="array" ref="G26:G26">IF($K26&gt;=9999999,"",INDEX(BASE!$E$2:$E$136,MATCH($K26,BASE!$G$2:$G$136,0)))</f>
        <v>17/12/2026</v>
      </c>
      <c r="H26" s="18" t="n">
        <f aca="false" t="array" ref="H26:H26">IF($K26&gt;=9999999,"",INDEX(BASE!$F$2:$F$136,MATCH($K26,BASE!$G$2:$G$136,0)))</f>
        <v>104</v>
      </c>
      <c r="I26" s="17"/>
      <c r="J26" s="17"/>
      <c r="K26" s="1" t="n">
        <f aca="false">SMALL(BASE!$G$2:$G$136,12)</f>
        <v>104.00037</v>
      </c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6.5" hidden="false" customHeight="true" outlineLevel="0" collapsed="false">
      <c r="B27" s="18" t="n">
        <f aca="false">IF($K27&gt;=9999999,"",13)</f>
        <v>13</v>
      </c>
      <c r="C27" s="18" t="str">
        <f aca="false" t="array" ref="C27:C27">IF($K27&gt;=9999999,"",INDEX(BASE!$A$2:$A$136,MATCH($K27,BASE!$G$2:$G$136,0)))</f>
        <v>Condutor</v>
      </c>
      <c r="D27" s="18" t="str">
        <f aca="false" t="array" ref="D27:D27">IF($K27&gt;=9999999,"",INDEX(BASE!$B$2:$B$136,MATCH($K27,BASE!$G$2:$G$136,0)))</f>
        <v>107.782.127-18</v>
      </c>
      <c r="E27" s="19" t="str">
        <f aca="false" t="array" ref="E27:E27">IF($K27&gt;=9999999,"",IF(INDEX(BASE!$C$2:$C$136,MATCH($K27,BASE!$G$2:$G$136,0))=0,"",INDEX(BASE!$C$2:$C$136,MATCH($K27,BASE!$G$2:$G$136,0))))</f>
        <v>WERLY SOUSA DE OLIVEIRA</v>
      </c>
      <c r="F27" s="18" t="str">
        <f aca="false" t="array" ref="F27:F27">IF($K27&gt;=9999999,"",INDEX(BASE!$D$2:$D$136,MATCH($K27,BASE!$G$2:$G$136,0)))</f>
        <v>TEM PERFIL</v>
      </c>
      <c r="G27" s="20" t="str">
        <f aca="false" t="array" ref="G27:G27">IF($K27&gt;=9999999,"",INDEX(BASE!$E$2:$E$136,MATCH($K27,BASE!$G$2:$G$136,0)))</f>
        <v>24/12/2026</v>
      </c>
      <c r="H27" s="18" t="n">
        <f aca="false" t="array" ref="H27:H27">IF($K27&gt;=9999999,"",INDEX(BASE!$F$2:$F$136,MATCH($K27,BASE!$G$2:$G$136,0)))</f>
        <v>111</v>
      </c>
      <c r="I27" s="17"/>
      <c r="J27" s="17"/>
      <c r="K27" s="1" t="n">
        <f aca="false">SMALL(BASE!$G$2:$G$136,13)</f>
        <v>111.00107</v>
      </c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6.5" hidden="false" customHeight="true" outlineLevel="0" collapsed="false">
      <c r="B28" s="18" t="n">
        <f aca="false">IF($K28&gt;=9999999,"",14)</f>
        <v>14</v>
      </c>
      <c r="C28" s="18" t="str">
        <f aca="false" t="array" ref="C28:C28">IF($K28&gt;=9999999,"",INDEX(BASE!$A$2:$A$136,MATCH($K28,BASE!$G$2:$G$136,0)))</f>
        <v>Condutor</v>
      </c>
      <c r="D28" s="18" t="str">
        <f aca="false" t="array" ref="D28:D28">IF($K28&gt;=9999999,"",INDEX(BASE!$B$2:$B$136,MATCH($K28,BASE!$G$2:$G$136,0)))</f>
        <v>051.336.641-50</v>
      </c>
      <c r="E28" s="19" t="str">
        <f aca="false" t="array" ref="E28:E28">IF($K28&gt;=9999999,"",IF(INDEX(BASE!$C$2:$C$136,MATCH($K28,BASE!$G$2:$G$136,0))=0,"",INDEX(BASE!$C$2:$C$136,MATCH($K28,BASE!$G$2:$G$136,0))))</f>
        <v>CARLOS AUGUSTO DE CARVALHO JUNIOR</v>
      </c>
      <c r="F28" s="18" t="str">
        <f aca="false" t="array" ref="F28:F28">IF($K28&gt;=9999999,"",INDEX(BASE!$D$2:$D$136,MATCH($K28,BASE!$G$2:$G$136,0)))</f>
        <v>TEM PERFIL</v>
      </c>
      <c r="G28" s="20" t="str">
        <f aca="false" t="array" ref="G28:G28">IF($K28&gt;=9999999,"",INDEX(BASE!$E$2:$E$136,MATCH($K28,BASE!$G$2:$G$136,0)))</f>
        <v>29/12/2026</v>
      </c>
      <c r="H28" s="18" t="n">
        <f aca="false" t="array" ref="H28:H28">IF($K28&gt;=9999999,"",INDEX(BASE!$F$2:$F$136,MATCH($K28,BASE!$G$2:$G$136,0)))</f>
        <v>116</v>
      </c>
      <c r="I28" s="17"/>
      <c r="J28" s="17"/>
      <c r="K28" s="1" t="n">
        <f aca="false">SMALL(BASE!$G$2:$G$136,14)</f>
        <v>116.00039</v>
      </c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6.5" hidden="false" customHeight="true" outlineLevel="0" collapsed="false">
      <c r="B29" s="18" t="n">
        <f aca="false">IF($K29&gt;=9999999,"",15)</f>
        <v>15</v>
      </c>
      <c r="C29" s="18" t="str">
        <f aca="false" t="array" ref="C29:C29">IF($K29&gt;=9999999,"",INDEX(BASE!$A$2:$A$136,MATCH($K29,BASE!$G$2:$G$136,0)))</f>
        <v>Condutor</v>
      </c>
      <c r="D29" s="18" t="str">
        <f aca="false" t="array" ref="D29:D29">IF($K29&gt;=9999999,"",INDEX(BASE!$B$2:$B$136,MATCH($K29,BASE!$G$2:$G$136,0)))</f>
        <v>054.023.726-40</v>
      </c>
      <c r="E29" s="19" t="str">
        <f aca="false" t="array" ref="E29:E29">IF($K29&gt;=9999999,"",IF(INDEX(BASE!$C$2:$C$136,MATCH($K29,BASE!$G$2:$G$136,0))=0,"",INDEX(BASE!$C$2:$C$136,MATCH($K29,BASE!$G$2:$G$136,0))))</f>
        <v>FABIANO GOMES DOS SANTOS</v>
      </c>
      <c r="F29" s="18" t="str">
        <f aca="false" t="array" ref="F29:F29">IF($K29&gt;=9999999,"",INDEX(BASE!$D$2:$D$136,MATCH($K29,BASE!$G$2:$G$136,0)))</f>
        <v>TEM PERFIL</v>
      </c>
      <c r="G29" s="20" t="str">
        <f aca="false" t="array" ref="G29:G29">IF($K29&gt;=9999999,"",INDEX(BASE!$E$2:$E$136,MATCH($K29,BASE!$G$2:$G$136,0)))</f>
        <v>02/01/2027</v>
      </c>
      <c r="H29" s="18" t="n">
        <f aca="false" t="array" ref="H29:H29">IF($K29&gt;=9999999,"",INDEX(BASE!$F$2:$F$136,MATCH($K29,BASE!$G$2:$G$136,0)))</f>
        <v>120</v>
      </c>
      <c r="I29" s="17"/>
      <c r="J29" s="17"/>
      <c r="K29" s="1" t="n">
        <f aca="false">SMALL(BASE!$G$2:$G$136,15)</f>
        <v>120.00043</v>
      </c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6.5" hidden="false" customHeight="true" outlineLevel="0" collapsed="false">
      <c r="B30" s="18" t="n">
        <f aca="false">IF($K30&gt;=9999999,"",16)</f>
        <v>16</v>
      </c>
      <c r="C30" s="18" t="str">
        <f aca="false" t="array" ref="C30:C30">IF($K30&gt;=9999999,"",INDEX(BASE!$A$2:$A$136,MATCH($K30,BASE!$G$2:$G$136,0)))</f>
        <v>Condutor</v>
      </c>
      <c r="D30" s="18" t="str">
        <f aca="false" t="array" ref="D30:D30">IF($K30&gt;=9999999,"",INDEX(BASE!$B$2:$B$136,MATCH($K30,BASE!$G$2:$G$136,0)))</f>
        <v>109.680.647-95</v>
      </c>
      <c r="E30" s="19" t="str">
        <f aca="false" t="array" ref="E30:E30">IF($K30&gt;=9999999,"",IF(INDEX(BASE!$C$2:$C$136,MATCH($K30,BASE!$G$2:$G$136,0))=0,"",INDEX(BASE!$C$2:$C$136,MATCH($K30,BASE!$G$2:$G$136,0))))</f>
        <v>CASSIO SILVA DE JESUS</v>
      </c>
      <c r="F30" s="18" t="str">
        <f aca="false" t="array" ref="F30:F30">IF($K30&gt;=9999999,"",INDEX(BASE!$D$2:$D$136,MATCH($K30,BASE!$G$2:$G$136,0)))</f>
        <v>TEM PERFIL</v>
      </c>
      <c r="G30" s="20" t="str">
        <f aca="false" t="array" ref="G30:G30">IF($K30&gt;=9999999,"",INDEX(BASE!$E$2:$E$136,MATCH($K30,BASE!$G$2:$G$136,0)))</f>
        <v>05/01/2027</v>
      </c>
      <c r="H30" s="18" t="n">
        <f aca="false" t="array" ref="H30:H30">IF($K30&gt;=9999999,"",INDEX(BASE!$F$2:$F$136,MATCH($K30,BASE!$G$2:$G$136,0)))</f>
        <v>123</v>
      </c>
      <c r="I30" s="17"/>
      <c r="J30" s="17"/>
      <c r="K30" s="1" t="n">
        <f aca="false">SMALL(BASE!$G$2:$G$136,16)</f>
        <v>123.0004</v>
      </c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6.5" hidden="false" customHeight="true" outlineLevel="0" collapsed="false">
      <c r="B31" s="18" t="n">
        <f aca="false">IF($K31&gt;=9999999,"",17)</f>
        <v>17</v>
      </c>
      <c r="C31" s="18" t="str">
        <f aca="false" t="array" ref="C31:C31">IF($K31&gt;=9999999,"",INDEX(BASE!$A$2:$A$136,MATCH($K31,BASE!$G$2:$G$136,0)))</f>
        <v>Condutor</v>
      </c>
      <c r="D31" s="18" t="str">
        <f aca="false" t="array" ref="D31:D31">IF($K31&gt;=9999999,"",INDEX(BASE!$B$2:$B$136,MATCH($K31,BASE!$G$2:$G$136,0)))</f>
        <v>165.535.527-97</v>
      </c>
      <c r="E31" s="19" t="str">
        <f aca="false" t="array" ref="E31:E31">IF($K31&gt;=9999999,"",IF(INDEX(BASE!$C$2:$C$136,MATCH($K31,BASE!$G$2:$G$136,0))=0,"",INDEX(BASE!$C$2:$C$136,MATCH($K31,BASE!$G$2:$G$136,0))))</f>
        <v>MIKE MENDES DOS SANTOS RODRIGUES</v>
      </c>
      <c r="F31" s="18" t="str">
        <f aca="false" t="array" ref="F31:F31">IF($K31&gt;=9999999,"",INDEX(BASE!$D$2:$D$136,MATCH($K31,BASE!$G$2:$G$136,0)))</f>
        <v>TEM PERFIL</v>
      </c>
      <c r="G31" s="20" t="str">
        <f aca="false" t="array" ref="G31:G31">IF($K31&gt;=9999999,"",INDEX(BASE!$E$2:$E$136,MATCH($K31,BASE!$G$2:$G$136,0)))</f>
        <v>05/01/2027</v>
      </c>
      <c r="H31" s="18" t="n">
        <f aca="false" t="array" ref="H31:H31">IF($K31&gt;=9999999,"",INDEX(BASE!$F$2:$F$136,MATCH($K31,BASE!$G$2:$G$136,0)))</f>
        <v>123</v>
      </c>
      <c r="I31" s="17"/>
      <c r="J31" s="17"/>
      <c r="K31" s="1" t="n">
        <f aca="false">SMALL(BASE!$G$2:$G$136,17)</f>
        <v>123.00056</v>
      </c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6.5" hidden="false" customHeight="true" outlineLevel="0" collapsed="false">
      <c r="B32" s="18" t="n">
        <f aca="false">IF($K32&gt;=9999999,"",18)</f>
        <v>18</v>
      </c>
      <c r="C32" s="18" t="str">
        <f aca="false" t="array" ref="C32:C32">IF($K32&gt;=9999999,"",INDEX(BASE!$A$2:$A$136,MATCH($K32,BASE!$G$2:$G$136,0)))</f>
        <v>Condutor</v>
      </c>
      <c r="D32" s="18" t="str">
        <f aca="false" t="array" ref="D32:D32">IF($K32&gt;=9999999,"",INDEX(BASE!$B$2:$B$136,MATCH($K32,BASE!$G$2:$G$136,0)))</f>
        <v>153.169.647-30</v>
      </c>
      <c r="E32" s="19" t="str">
        <f aca="false" t="array" ref="E32:E32">IF($K32&gt;=9999999,"",IF(INDEX(BASE!$C$2:$C$136,MATCH($K32,BASE!$G$2:$G$136,0))=0,"",INDEX(BASE!$C$2:$C$136,MATCH($K32,BASE!$G$2:$G$136,0))))</f>
        <v>MARLLON BRANDON AZEVEDO</v>
      </c>
      <c r="F32" s="18" t="str">
        <f aca="false" t="array" ref="F32:F32">IF($K32&gt;=9999999,"",INDEX(BASE!$D$2:$D$136,MATCH($K32,BASE!$G$2:$G$136,0)))</f>
        <v>TEM PERFIL</v>
      </c>
      <c r="G32" s="20" t="n">
        <f aca="false" t="array" ref="G32:G32">IF($K32&gt;=9999999,"",INDEX(BASE!$E$2:$E$136,MATCH($K32,BASE!$G$2:$G$136,0)))</f>
        <v>46393</v>
      </c>
      <c r="H32" s="18" t="n">
        <f aca="false" t="array" ref="H32:H32">IF($K32&gt;=9999999,"",INDEX(BASE!$F$2:$F$136,MATCH($K32,BASE!$G$2:$G$136,0)))</f>
        <v>124</v>
      </c>
      <c r="I32" s="17"/>
      <c r="J32" s="17"/>
      <c r="K32" s="1" t="n">
        <f aca="false">SMALL(BASE!$G$2:$G$136,18)</f>
        <v>124.00079</v>
      </c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6.5" hidden="false" customHeight="true" outlineLevel="0" collapsed="false">
      <c r="B33" s="18" t="n">
        <f aca="false">IF($K33&gt;=9999999,"",19)</f>
        <v>19</v>
      </c>
      <c r="C33" s="18" t="str">
        <f aca="false" t="array" ref="C33:C33">IF($K33&gt;=9999999,"",INDEX(BASE!$A$2:$A$136,MATCH($K33,BASE!$G$2:$G$136,0)))</f>
        <v>Condutor</v>
      </c>
      <c r="D33" s="18" t="str">
        <f aca="false" t="array" ref="D33:D33">IF($K33&gt;=9999999,"",INDEX(BASE!$B$2:$B$136,MATCH($K33,BASE!$G$2:$G$136,0)))</f>
        <v>579.650.301-44</v>
      </c>
      <c r="E33" s="19" t="str">
        <f aca="false" t="array" ref="E33:E33">IF($K33&gt;=9999999,"",IF(INDEX(BASE!$C$2:$C$136,MATCH($K33,BASE!$G$2:$G$136,0))=0,"",INDEX(BASE!$C$2:$C$136,MATCH($K33,BASE!$G$2:$G$136,0))))</f>
        <v>LUIS CARLOS NOUSO</v>
      </c>
      <c r="F33" s="18" t="str">
        <f aca="false" t="array" ref="F33:F33">IF($K33&gt;=9999999,"",INDEX(BASE!$D$2:$D$136,MATCH($K33,BASE!$G$2:$G$136,0)))</f>
        <v>TEM PERFIL</v>
      </c>
      <c r="G33" s="20" t="str">
        <f aca="false" t="array" ref="G33:G33">IF($K33&gt;=9999999,"",INDEX(BASE!$E$2:$E$136,MATCH($K33,BASE!$G$2:$G$136,0)))</f>
        <v>09/01/2027</v>
      </c>
      <c r="H33" s="18" t="n">
        <f aca="false" t="array" ref="H33:H33">IF($K33&gt;=9999999,"",INDEX(BASE!$F$2:$F$136,MATCH($K33,BASE!$G$2:$G$136,0)))</f>
        <v>127</v>
      </c>
      <c r="I33" s="17"/>
      <c r="J33" s="17"/>
      <c r="K33" s="1" t="n">
        <f aca="false">SMALL(BASE!$G$2:$G$136,19)</f>
        <v>127.00077</v>
      </c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6.5" hidden="false" customHeight="true" outlineLevel="0" collapsed="false">
      <c r="B34" s="18" t="n">
        <f aca="false">IF($K34&gt;=9999999,"",20)</f>
        <v>20</v>
      </c>
      <c r="C34" s="18" t="str">
        <f aca="false" t="array" ref="C34:C34">IF($K34&gt;=9999999,"",INDEX(BASE!$A$2:$A$136,MATCH($K34,BASE!$G$2:$G$136,0)))</f>
        <v>Condutor</v>
      </c>
      <c r="D34" s="18" t="str">
        <f aca="false" t="array" ref="D34:D34">IF($K34&gt;=9999999,"",INDEX(BASE!$B$2:$B$136,MATCH($K34,BASE!$G$2:$G$136,0)))</f>
        <v>067.255.141-11</v>
      </c>
      <c r="E34" s="19" t="str">
        <f aca="false" t="array" ref="E34:E34">IF($K34&gt;=9999999,"",IF(INDEX(BASE!$C$2:$C$136,MATCH($K34,BASE!$G$2:$G$136,0))=0,"",INDEX(BASE!$C$2:$C$136,MATCH($K34,BASE!$G$2:$G$136,0))))</f>
        <v>ANDERSON DA CONCEIÇAO SIQUEIRA</v>
      </c>
      <c r="F34" s="18" t="str">
        <f aca="false" t="array" ref="F34:F34">IF($K34&gt;=9999999,"",INDEX(BASE!$D$2:$D$136,MATCH($K34,BASE!$G$2:$G$136,0)))</f>
        <v>TEM PERFIL</v>
      </c>
      <c r="G34" s="20" t="str">
        <f aca="false" t="array" ref="G34:G34">IF($K34&gt;=9999999,"",INDEX(BASE!$E$2:$E$136,MATCH($K34,BASE!$G$2:$G$136,0)))</f>
        <v>09/01/2027</v>
      </c>
      <c r="H34" s="18" t="n">
        <f aca="false" t="array" ref="H34:H34">IF($K34&gt;=9999999,"",INDEX(BASE!$F$2:$F$136,MATCH($K34,BASE!$G$2:$G$136,0)))</f>
        <v>127</v>
      </c>
      <c r="I34" s="17"/>
      <c r="J34" s="17"/>
      <c r="K34" s="1" t="n">
        <f aca="false">SMALL(BASE!$G$2:$G$136,20)</f>
        <v>127.00078</v>
      </c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6.5" hidden="false" customHeight="true" outlineLevel="0" collapsed="false">
      <c r="B35" s="18" t="n">
        <f aca="false">IF($K35&gt;=9999999,"",21)</f>
        <v>21</v>
      </c>
      <c r="C35" s="18" t="str">
        <f aca="false" t="array" ref="C35:C35">IF($K35&gt;=9999999,"",INDEX(BASE!$A$2:$A$136,MATCH($K35,BASE!$G$2:$G$136,0)))</f>
        <v>Condutor</v>
      </c>
      <c r="D35" s="18" t="str">
        <f aca="false" t="array" ref="D35:D35">IF($K35&gt;=9999999,"",INDEX(BASE!$B$2:$B$136,MATCH($K35,BASE!$G$2:$G$136,0)))</f>
        <v>821.594.087-00</v>
      </c>
      <c r="E35" s="19" t="str">
        <f aca="false" t="array" ref="E35:E35">IF($K35&gt;=9999999,"",IF(INDEX(BASE!$C$2:$C$136,MATCH($K35,BASE!$G$2:$G$136,0))=0,"",INDEX(BASE!$C$2:$C$136,MATCH($K35,BASE!$G$2:$G$136,0))))</f>
        <v>CARLOS HENRIQUE DE OLIVEIRA REIS</v>
      </c>
      <c r="F35" s="18" t="str">
        <f aca="false" t="array" ref="F35:F35">IF($K35&gt;=9999999,"",INDEX(BASE!$D$2:$D$136,MATCH($K35,BASE!$G$2:$G$136,0)))</f>
        <v>TEM PERFIL</v>
      </c>
      <c r="G35" s="20" t="str">
        <f aca="false" t="array" ref="G35:G35">IF($K35&gt;=9999999,"",INDEX(BASE!$E$2:$E$136,MATCH($K35,BASE!$G$2:$G$136,0)))</f>
        <v>09/01/2027</v>
      </c>
      <c r="H35" s="18" t="n">
        <f aca="false" t="array" ref="H35:H35">IF($K35&gt;=9999999,"",INDEX(BASE!$F$2:$F$136,MATCH($K35,BASE!$G$2:$G$136,0)))</f>
        <v>127</v>
      </c>
      <c r="I35" s="17"/>
      <c r="J35" s="17"/>
      <c r="K35" s="1" t="n">
        <f aca="false">SMALL(BASE!$G$2:$G$136,21)</f>
        <v>127.00086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6.5" hidden="false" customHeight="true" outlineLevel="0" collapsed="false">
      <c r="B36" s="18" t="n">
        <f aca="false">IF($K36&gt;=9999999,"",22)</f>
        <v>22</v>
      </c>
      <c r="C36" s="18" t="str">
        <f aca="false" t="array" ref="C36:C36">IF($K36&gt;=9999999,"",INDEX(BASE!$A$2:$A$136,MATCH($K36,BASE!$G$2:$G$136,0)))</f>
        <v>Veículo</v>
      </c>
      <c r="D36" s="18" t="str">
        <f aca="false" t="array" ref="D36:D36">IF($K36&gt;=9999999,"",INDEX(BASE!$B$2:$B$136,MATCH($K36,BASE!$G$2:$G$136,0)))</f>
        <v>FQMBH72</v>
      </c>
      <c r="E36" s="19" t="str">
        <f aca="false" t="array" ref="E36:E36">IF($K36&gt;=9999999,"",IF(INDEX(BASE!$C$2:$C$136,MATCH($K36,BASE!$G$2:$G$136,0))=0,"",INDEX(BASE!$C$2:$C$136,MATCH($K36,BASE!$G$2:$G$136,0))))</f>
        <v/>
      </c>
      <c r="F36" s="18" t="str">
        <f aca="false" t="array" ref="F36:F36">IF($K36&gt;=9999999,"",INDEX(BASE!$D$2:$D$136,MATCH($K36,BASE!$G$2:$G$136,0)))</f>
        <v>TEM PERFIL</v>
      </c>
      <c r="G36" s="20" t="str">
        <f aca="false" t="array" ref="G36:G36">IF($K36&gt;=9999999,"",INDEX(BASE!$E$2:$E$136,MATCH($K36,BASE!$G$2:$G$136,0)))</f>
        <v>12/01/2027</v>
      </c>
      <c r="H36" s="18" t="n">
        <f aca="false" t="array" ref="H36:H36">IF($K36&gt;=9999999,"",INDEX(BASE!$F$2:$F$136,MATCH($K36,BASE!$G$2:$G$136,0)))</f>
        <v>130</v>
      </c>
      <c r="I36" s="17"/>
      <c r="J36" s="17"/>
      <c r="K36" s="1" t="n">
        <f aca="false">SMALL(BASE!$G$2:$G$136,22)</f>
        <v>130.00016</v>
      </c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6.5" hidden="false" customHeight="true" outlineLevel="0" collapsed="false">
      <c r="B37" s="18" t="n">
        <f aca="false">IF($K37&gt;=9999999,"",23)</f>
        <v>23</v>
      </c>
      <c r="C37" s="18" t="str">
        <f aca="false" t="array" ref="C37:C37">IF($K37&gt;=9999999,"",INDEX(BASE!$A$2:$A$136,MATCH($K37,BASE!$G$2:$G$136,0)))</f>
        <v>Condutor</v>
      </c>
      <c r="D37" s="18" t="str">
        <f aca="false" t="array" ref="D37:D37">IF($K37&gt;=9999999,"",INDEX(BASE!$B$2:$B$136,MATCH($K37,BASE!$G$2:$G$136,0)))</f>
        <v>132.336.917-18</v>
      </c>
      <c r="E37" s="19" t="str">
        <f aca="false" t="array" ref="E37:E37">IF($K37&gt;=9999999,"",IF(INDEX(BASE!$C$2:$C$136,MATCH($K37,BASE!$G$2:$G$136,0))=0,"",INDEX(BASE!$C$2:$C$136,MATCH($K37,BASE!$G$2:$G$136,0))))</f>
        <v>MAICON DOS SANTOS ALVES</v>
      </c>
      <c r="F37" s="18" t="str">
        <f aca="false" t="array" ref="F37:F37">IF($K37&gt;=9999999,"",INDEX(BASE!$D$2:$D$136,MATCH($K37,BASE!$G$2:$G$136,0)))</f>
        <v>TEM PERFIL</v>
      </c>
      <c r="G37" s="20" t="str">
        <f aca="false" t="array" ref="G37:G37">IF($K37&gt;=9999999,"",INDEX(BASE!$E$2:$E$136,MATCH($K37,BASE!$G$2:$G$136,0)))</f>
        <v>12/01/2027</v>
      </c>
      <c r="H37" s="18" t="n">
        <f aca="false" t="array" ref="H37:H37">IF($K37&gt;=9999999,"",INDEX(BASE!$F$2:$F$136,MATCH($K37,BASE!$G$2:$G$136,0)))</f>
        <v>130</v>
      </c>
      <c r="I37" s="17"/>
      <c r="J37" s="17"/>
      <c r="K37" s="1" t="n">
        <f aca="false">SMALL(BASE!$G$2:$G$136,23)</f>
        <v>130.00053</v>
      </c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6.5" hidden="false" customHeight="true" outlineLevel="0" collapsed="false">
      <c r="B38" s="18" t="n">
        <f aca="false">IF($K38&gt;=9999999,"",24)</f>
        <v>24</v>
      </c>
      <c r="C38" s="18" t="str">
        <f aca="false" t="array" ref="C38:C38">IF($K38&gt;=9999999,"",INDEX(BASE!$A$2:$A$136,MATCH($K38,BASE!$G$2:$G$136,0)))</f>
        <v>Condutor</v>
      </c>
      <c r="D38" s="18" t="str">
        <f aca="false" t="array" ref="D38:D38">IF($K38&gt;=9999999,"",INDEX(BASE!$B$2:$B$136,MATCH($K38,BASE!$G$2:$G$136,0)))</f>
        <v>874.774.401-49</v>
      </c>
      <c r="E38" s="19" t="str">
        <f aca="false" t="array" ref="E38:E38">IF($K38&gt;=9999999,"",IF(INDEX(BASE!$C$2:$C$136,MATCH($K38,BASE!$G$2:$G$136,0))=0,"",INDEX(BASE!$C$2:$C$136,MATCH($K38,BASE!$G$2:$G$136,0))))</f>
        <v>OSCAR JOSE RODRIGUES FERREIRA</v>
      </c>
      <c r="F38" s="18" t="str">
        <f aca="false" t="array" ref="F38:F38">IF($K38&gt;=9999999,"",INDEX(BASE!$D$2:$D$136,MATCH($K38,BASE!$G$2:$G$136,0)))</f>
        <v>TEM PERFIL</v>
      </c>
      <c r="G38" s="20" t="str">
        <f aca="false" t="array" ref="G38:G38">IF($K38&gt;=9999999,"",INDEX(BASE!$E$2:$E$136,MATCH($K38,BASE!$G$2:$G$136,0)))</f>
        <v>12/01/2027</v>
      </c>
      <c r="H38" s="18" t="n">
        <f aca="false" t="array" ref="H38:H38">IF($K38&gt;=9999999,"",INDEX(BASE!$F$2:$F$136,MATCH($K38,BASE!$G$2:$G$136,0)))</f>
        <v>130</v>
      </c>
      <c r="I38" s="17"/>
      <c r="J38" s="17"/>
      <c r="K38" s="1" t="n">
        <f aca="false">SMALL(BASE!$G$2:$G$136,24)</f>
        <v>130.00057</v>
      </c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6.5" hidden="false" customHeight="true" outlineLevel="0" collapsed="false">
      <c r="B39" s="18" t="n">
        <f aca="false">IF($K39&gt;=9999999,"",25)</f>
        <v>25</v>
      </c>
      <c r="C39" s="18" t="str">
        <f aca="false" t="array" ref="C39:C39">IF($K39&gt;=9999999,"",INDEX(BASE!$A$2:$A$136,MATCH($K39,BASE!$G$2:$G$136,0)))</f>
        <v>Veículo</v>
      </c>
      <c r="D39" s="18" t="str">
        <f aca="false" t="array" ref="D39:D39">IF($K39&gt;=9999999,"",INDEX(BASE!$B$2:$B$136,MATCH($K39,BASE!$G$2:$G$136,0)))</f>
        <v>MSD2923</v>
      </c>
      <c r="E39" s="19" t="str">
        <f aca="false" t="array" ref="E39:E39">IF($K39&gt;=9999999,"",IF(INDEX(BASE!$C$2:$C$136,MATCH($K39,BASE!$G$2:$G$136,0))=0,"",INDEX(BASE!$C$2:$C$136,MATCH($K39,BASE!$G$2:$G$136,0))))</f>
        <v/>
      </c>
      <c r="F39" s="18" t="str">
        <f aca="false" t="array" ref="F39:F39">IF($K39&gt;=9999999,"",INDEX(BASE!$D$2:$D$136,MATCH($K39,BASE!$G$2:$G$136,0)))</f>
        <v>TEM PERFIL</v>
      </c>
      <c r="G39" s="20" t="str">
        <f aca="false" t="array" ref="G39:G39">IF($K39&gt;=9999999,"",INDEX(BASE!$E$2:$E$136,MATCH($K39,BASE!$G$2:$G$136,0)))</f>
        <v>13/01/2027</v>
      </c>
      <c r="H39" s="18" t="n">
        <f aca="false" t="array" ref="H39:H39">IF($K39&gt;=9999999,"",INDEX(BASE!$F$2:$F$136,MATCH($K39,BASE!$G$2:$G$136,0)))</f>
        <v>131</v>
      </c>
      <c r="I39" s="17"/>
      <c r="J39" s="17"/>
      <c r="K39" s="1" t="n">
        <f aca="false">SMALL(BASE!$G$2:$G$136,25)</f>
        <v>131.00015</v>
      </c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6.5" hidden="false" customHeight="true" outlineLevel="0" collapsed="false">
      <c r="B40" s="18" t="n">
        <f aca="false">IF($K40&gt;=9999999,"",26)</f>
        <v>26</v>
      </c>
      <c r="C40" s="18" t="str">
        <f aca="false" t="array" ref="C40:C40">IF($K40&gt;=9999999,"",INDEX(BASE!$A$2:$A$136,MATCH($K40,BASE!$G$2:$G$136,0)))</f>
        <v>Condutor</v>
      </c>
      <c r="D40" s="18" t="str">
        <f aca="false" t="array" ref="D40:D40">IF($K40&gt;=9999999,"",INDEX(BASE!$B$2:$B$136,MATCH($K40,BASE!$G$2:$G$136,0)))</f>
        <v>126.196.917-02</v>
      </c>
      <c r="E40" s="19" t="str">
        <f aca="false" t="array" ref="E40:E40">IF($K40&gt;=9999999,"",IF(INDEX(BASE!$C$2:$C$136,MATCH($K40,BASE!$G$2:$G$136,0))=0,"",INDEX(BASE!$C$2:$C$136,MATCH($K40,BASE!$G$2:$G$136,0))))</f>
        <v>ADILSON DA SILVA MEIRELLES JUNIOR</v>
      </c>
      <c r="F40" s="18" t="str">
        <f aca="false" t="array" ref="F40:F40">IF($K40&gt;=9999999,"",INDEX(BASE!$D$2:$D$136,MATCH($K40,BASE!$G$2:$G$136,0)))</f>
        <v>TEM PERFIL</v>
      </c>
      <c r="G40" s="20" t="str">
        <f aca="false" t="array" ref="G40:G40">IF($K40&gt;=9999999,"",INDEX(BASE!$E$2:$E$136,MATCH($K40,BASE!$G$2:$G$136,0)))</f>
        <v>13/01/2027</v>
      </c>
      <c r="H40" s="18" t="n">
        <f aca="false" t="array" ref="H40:H40">IF($K40&gt;=9999999,"",INDEX(BASE!$F$2:$F$136,MATCH($K40,BASE!$G$2:$G$136,0)))</f>
        <v>131</v>
      </c>
      <c r="I40" s="17"/>
      <c r="J40" s="17"/>
      <c r="K40" s="1" t="n">
        <f aca="false">SMALL(BASE!$G$2:$G$136,26)</f>
        <v>131.00072</v>
      </c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6.5" hidden="false" customHeight="true" outlineLevel="0" collapsed="false">
      <c r="B41" s="18" t="n">
        <f aca="false">IF($K41&gt;=9999999,"",27)</f>
        <v>27</v>
      </c>
      <c r="C41" s="18" t="str">
        <f aca="false" t="array" ref="C41:C41">IF($K41&gt;=9999999,"",INDEX(BASE!$A$2:$A$136,MATCH($K41,BASE!$G$2:$G$136,0)))</f>
        <v>Condutor</v>
      </c>
      <c r="D41" s="18" t="str">
        <f aca="false" t="array" ref="D41:D41">IF($K41&gt;=9999999,"",INDEX(BASE!$B$2:$B$136,MATCH($K41,BASE!$G$2:$G$136,0)))</f>
        <v>925.958.121-49</v>
      </c>
      <c r="E41" s="19" t="str">
        <f aca="false" t="array" ref="E41:E41">IF($K41&gt;=9999999,"",IF(INDEX(BASE!$C$2:$C$136,MATCH($K41,BASE!$G$2:$G$136,0))=0,"",INDEX(BASE!$C$2:$C$136,MATCH($K41,BASE!$G$2:$G$136,0))))</f>
        <v>MARCOS PAULO CARVALHO DE OLIVEIRA</v>
      </c>
      <c r="F41" s="18" t="str">
        <f aca="false" t="array" ref="F41:F41">IF($K41&gt;=9999999,"",INDEX(BASE!$D$2:$D$136,MATCH($K41,BASE!$G$2:$G$136,0)))</f>
        <v>TEM PERFIL</v>
      </c>
      <c r="G41" s="20" t="str">
        <f aca="false" t="array" ref="G41:G41">IF($K41&gt;=9999999,"",INDEX(BASE!$E$2:$E$136,MATCH($K41,BASE!$G$2:$G$136,0)))</f>
        <v>13/01/2027</v>
      </c>
      <c r="H41" s="18" t="n">
        <f aca="false" t="array" ref="H41:H41">IF($K41&gt;=9999999,"",INDEX(BASE!$F$2:$F$136,MATCH($K41,BASE!$G$2:$G$136,0)))</f>
        <v>131</v>
      </c>
      <c r="I41" s="17"/>
      <c r="J41" s="17"/>
      <c r="K41" s="1" t="n">
        <f aca="false">SMALL(BASE!$G$2:$G$136,27)</f>
        <v>131.00074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6.5" hidden="false" customHeight="true" outlineLevel="0" collapsed="false">
      <c r="B42" s="18" t="n">
        <f aca="false">IF($K42&gt;=9999999,"",28)</f>
        <v>28</v>
      </c>
      <c r="C42" s="18" t="str">
        <f aca="false" t="array" ref="C42:C42">IF($K42&gt;=9999999,"",INDEX(BASE!$A$2:$A$136,MATCH($K42,BASE!$G$2:$G$136,0)))</f>
        <v>Condutor</v>
      </c>
      <c r="D42" s="18" t="str">
        <f aca="false" t="array" ref="D42:D42">IF($K42&gt;=9999999,"",INDEX(BASE!$B$2:$B$136,MATCH($K42,BASE!$G$2:$G$136,0)))</f>
        <v>083.963.717-92</v>
      </c>
      <c r="E42" s="19" t="str">
        <f aca="false" t="array" ref="E42:E42">IF($K42&gt;=9999999,"",IF(INDEX(BASE!$C$2:$C$136,MATCH($K42,BASE!$G$2:$G$136,0))=0,"",INDEX(BASE!$C$2:$C$136,MATCH($K42,BASE!$G$2:$G$136,0))))</f>
        <v>MARCIO ANTONIO DA SILVA</v>
      </c>
      <c r="F42" s="18" t="str">
        <f aca="false" t="array" ref="F42:F42">IF($K42&gt;=9999999,"",INDEX(BASE!$D$2:$D$136,MATCH($K42,BASE!$G$2:$G$136,0)))</f>
        <v>TEM PERFIL</v>
      </c>
      <c r="G42" s="20" t="str">
        <f aca="false" t="array" ref="G42:G42">IF($K42&gt;=9999999,"",INDEX(BASE!$E$2:$E$136,MATCH($K42,BASE!$G$2:$G$136,0)))</f>
        <v>13/01/2027</v>
      </c>
      <c r="H42" s="18" t="n">
        <f aca="false" t="array" ref="H42:H42">IF($K42&gt;=9999999,"",INDEX(BASE!$F$2:$F$136,MATCH($K42,BASE!$G$2:$G$136,0)))</f>
        <v>131</v>
      </c>
      <c r="I42" s="17"/>
      <c r="J42" s="17"/>
      <c r="K42" s="1" t="n">
        <f aca="false">SMALL(BASE!$G$2:$G$136,28)</f>
        <v>131.00075</v>
      </c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6.5" hidden="false" customHeight="true" outlineLevel="0" collapsed="false">
      <c r="B43" s="18" t="n">
        <f aca="false">IF($K43&gt;=9999999,"",29)</f>
        <v>29</v>
      </c>
      <c r="C43" s="18" t="str">
        <f aca="false" t="array" ref="C43:C43">IF($K43&gt;=9999999,"",INDEX(BASE!$A$2:$A$136,MATCH($K43,BASE!$G$2:$G$136,0)))</f>
        <v>Condutor</v>
      </c>
      <c r="D43" s="18" t="str">
        <f aca="false" t="array" ref="D43:D43">IF($K43&gt;=9999999,"",INDEX(BASE!$B$2:$B$136,MATCH($K43,BASE!$G$2:$G$136,0)))</f>
        <v>147.342.847-50</v>
      </c>
      <c r="E43" s="19" t="str">
        <f aca="false" t="array" ref="E43:E43">IF($K43&gt;=9999999,"",IF(INDEX(BASE!$C$2:$C$136,MATCH($K43,BASE!$G$2:$G$136,0))=0,"",INDEX(BASE!$C$2:$C$136,MATCH($K43,BASE!$G$2:$G$136,0))))</f>
        <v>RAPHAEL MACHADO DA SILVA</v>
      </c>
      <c r="F43" s="18" t="str">
        <f aca="false" t="array" ref="F43:F43">IF($K43&gt;=9999999,"",INDEX(BASE!$D$2:$D$136,MATCH($K43,BASE!$G$2:$G$136,0)))</f>
        <v>TEM PERFIL</v>
      </c>
      <c r="G43" s="20" t="str">
        <f aca="false" t="array" ref="G43:G43">IF($K43&gt;=9999999,"",INDEX(BASE!$E$2:$E$136,MATCH($K43,BASE!$G$2:$G$136,0)))</f>
        <v>13/01/2027</v>
      </c>
      <c r="H43" s="18" t="n">
        <f aca="false" t="array" ref="H43:H43">IF($K43&gt;=9999999,"",INDEX(BASE!$F$2:$F$136,MATCH($K43,BASE!$G$2:$G$136,0)))</f>
        <v>131</v>
      </c>
      <c r="I43" s="17"/>
      <c r="J43" s="17"/>
      <c r="K43" s="1" t="n">
        <f aca="false">SMALL(BASE!$G$2:$G$136,29)</f>
        <v>131.00076</v>
      </c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6.5" hidden="false" customHeight="true" outlineLevel="0" collapsed="false">
      <c r="B44" s="18" t="n">
        <f aca="false">IF($K44&gt;=9999999,"",30)</f>
        <v>30</v>
      </c>
      <c r="C44" s="18" t="str">
        <f aca="false" t="array" ref="C44:C44">IF($K44&gt;=9999999,"",INDEX(BASE!$A$2:$A$136,MATCH($K44,BASE!$G$2:$G$136,0)))</f>
        <v>Condutor</v>
      </c>
      <c r="D44" s="18" t="str">
        <f aca="false" t="array" ref="D44:D44">IF($K44&gt;=9999999,"",INDEX(BASE!$B$2:$B$136,MATCH($K44,BASE!$G$2:$G$136,0)))</f>
        <v>093.336.627-23</v>
      </c>
      <c r="E44" s="19" t="str">
        <f aca="false" t="array" ref="E44:E44">IF($K44&gt;=9999999,"",IF(INDEX(BASE!$C$2:$C$136,MATCH($K44,BASE!$G$2:$G$136,0))=0,"",INDEX(BASE!$C$2:$C$136,MATCH($K44,BASE!$G$2:$G$136,0))))</f>
        <v>TIAGO DA SILVA SALGADO</v>
      </c>
      <c r="F44" s="18" t="str">
        <f aca="false" t="array" ref="F44:F44">IF($K44&gt;=9999999,"",INDEX(BASE!$D$2:$D$136,MATCH($K44,BASE!$G$2:$G$136,0)))</f>
        <v>TEM PERFIL</v>
      </c>
      <c r="G44" s="20" t="str">
        <f aca="false" t="array" ref="G44:G44">IF($K44&gt;=9999999,"",INDEX(BASE!$E$2:$E$136,MATCH($K44,BASE!$G$2:$G$136,0)))</f>
        <v>13/01/2027</v>
      </c>
      <c r="H44" s="18" t="n">
        <f aca="false" t="array" ref="H44:H44">IF($K44&gt;=9999999,"",INDEX(BASE!$F$2:$F$136,MATCH($K44,BASE!$G$2:$G$136,0)))</f>
        <v>131</v>
      </c>
      <c r="I44" s="17"/>
      <c r="J44" s="17"/>
      <c r="K44" s="1" t="n">
        <f aca="false">SMALL(BASE!$G$2:$G$136,30)</f>
        <v>131.0008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6.5" hidden="false" customHeight="true" outlineLevel="0" collapsed="false">
      <c r="B45" s="18" t="n">
        <f aca="false">IF($K45&gt;=9999999,"",31)</f>
        <v>31</v>
      </c>
      <c r="C45" s="18" t="str">
        <f aca="false" t="array" ref="C45:C45">IF($K45&gt;=9999999,"",INDEX(BASE!$A$2:$A$136,MATCH($K45,BASE!$G$2:$G$136,0)))</f>
        <v>Condutor</v>
      </c>
      <c r="D45" s="18" t="str">
        <f aca="false" t="array" ref="D45:D45">IF($K45&gt;=9999999,"",INDEX(BASE!$B$2:$B$136,MATCH($K45,BASE!$G$2:$G$136,0)))</f>
        <v>189.077.897-46</v>
      </c>
      <c r="E45" s="19" t="str">
        <f aca="false" t="array" ref="E45:E45">IF($K45&gt;=9999999,"",IF(INDEX(BASE!$C$2:$C$136,MATCH($K45,BASE!$G$2:$G$136,0))=0,"",INDEX(BASE!$C$2:$C$136,MATCH($K45,BASE!$G$2:$G$136,0))))</f>
        <v>LUCAS RANGEL SAMUEL</v>
      </c>
      <c r="F45" s="18" t="str">
        <f aca="false" t="array" ref="F45:F45">IF($K45&gt;=9999999,"",INDEX(BASE!$D$2:$D$136,MATCH($K45,BASE!$G$2:$G$136,0)))</f>
        <v>TEM PERFIL</v>
      </c>
      <c r="G45" s="20" t="str">
        <f aca="false" t="array" ref="G45:G45">IF($K45&gt;=9999999,"",INDEX(BASE!$E$2:$E$136,MATCH($K45,BASE!$G$2:$G$136,0)))</f>
        <v>13/01/2027</v>
      </c>
      <c r="H45" s="18" t="n">
        <f aca="false" t="array" ref="H45:H45">IF($K45&gt;=9999999,"",INDEX(BASE!$F$2:$F$136,MATCH($K45,BASE!$G$2:$G$136,0)))</f>
        <v>131</v>
      </c>
      <c r="I45" s="17"/>
      <c r="J45" s="17"/>
      <c r="K45" s="1" t="n">
        <f aca="false">SMALL(BASE!$G$2:$G$136,31)</f>
        <v>131.00081</v>
      </c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6.5" hidden="false" customHeight="true" outlineLevel="0" collapsed="false">
      <c r="A46" s="21"/>
      <c r="B46" s="22" t="n">
        <f aca="false">IF($K46&gt;=9999999,"",32)</f>
        <v>32</v>
      </c>
      <c r="C46" s="22" t="str">
        <f aca="false" t="array" ref="C46:C46">IF($K46&gt;=9999999,"",INDEX(BASE!$A$2:$A$136,MATCH($K46,BASE!$G$2:$G$136,0)))</f>
        <v>Condutor</v>
      </c>
      <c r="D46" s="22" t="str">
        <f aca="false" t="array" ref="D46:D46">IF($K46&gt;=9999999,"",INDEX(BASE!$B$2:$B$136,MATCH($K46,BASE!$G$2:$G$136,0)))</f>
        <v>082.558.367-56</v>
      </c>
      <c r="E46" s="23" t="str">
        <f aca="false" t="array" ref="E46:E46">IF($K46&gt;=9999999,"",IF(INDEX(BASE!$C$2:$C$136,MATCH($K46,BASE!$G$2:$G$136,0))=0,"",INDEX(BASE!$C$2:$C$136,MATCH($K46,BASE!$G$2:$G$136,0))))</f>
        <v>ALEX HOMERO DA SILVA</v>
      </c>
      <c r="F46" s="22" t="str">
        <f aca="false" t="array" ref="F46:F46">IF($K46&gt;=9999999,"",INDEX(BASE!$D$2:$D$136,MATCH($K46,BASE!$G$2:$G$136,0)))</f>
        <v>TEM PERFIL</v>
      </c>
      <c r="G46" s="24" t="str">
        <f aca="false" t="array" ref="G46:G46">IF($K46&gt;=9999999,"",INDEX(BASE!$E$2:$E$136,MATCH($K46,BASE!$G$2:$G$136,0)))</f>
        <v>13/01/2027</v>
      </c>
      <c r="H46" s="22" t="n">
        <f aca="false" t="array" ref="H46:H46">IF($K46&gt;=9999999,"",INDEX(BASE!$F$2:$F$136,MATCH($K46,BASE!$G$2:$G$136,0)))</f>
        <v>131</v>
      </c>
      <c r="I46" s="17"/>
      <c r="J46" s="17"/>
      <c r="K46" s="1" t="n">
        <f aca="false">SMALL(BASE!$G$2:$G$136,32)</f>
        <v>131.00085</v>
      </c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6.5" hidden="false" customHeight="true" outlineLevel="0" collapsed="false">
      <c r="A47" s="21"/>
      <c r="B47" s="22" t="n">
        <f aca="false">IF($K47&gt;=9999999,"",33)</f>
        <v>33</v>
      </c>
      <c r="C47" s="22" t="str">
        <f aca="false" t="array" ref="C47:C47">IF($K47&gt;=9999999,"",INDEX(BASE!$A$2:$A$136,MATCH($K47,BASE!$G$2:$G$136,0)))</f>
        <v>Condutor</v>
      </c>
      <c r="D47" s="22" t="str">
        <f aca="false" t="array" ref="D47:D47">IF($K47&gt;=9999999,"",INDEX(BASE!$B$2:$B$136,MATCH($K47,BASE!$G$2:$G$136,0)))</f>
        <v>119.554.197-01</v>
      </c>
      <c r="E47" s="23" t="str">
        <f aca="false" t="array" ref="E47:E47">IF($K47&gt;=9999999,"",IF(INDEX(BASE!$C$2:$C$136,MATCH($K47,BASE!$G$2:$G$136,0))=0,"",INDEX(BASE!$C$2:$C$136,MATCH($K47,BASE!$G$2:$G$136,0))))</f>
        <v>ANTONIO CARLOS DOS SANTOS XAVIER</v>
      </c>
      <c r="F47" s="22" t="str">
        <f aca="false" t="array" ref="F47:F47">IF($K47&gt;=9999999,"",INDEX(BASE!$D$2:$D$136,MATCH($K47,BASE!$G$2:$G$136,0)))</f>
        <v>TEM PERFIL</v>
      </c>
      <c r="G47" s="24" t="str">
        <f aca="false" t="array" ref="G47:G47">IF($K47&gt;=9999999,"",INDEX(BASE!$E$2:$E$136,MATCH($K47,BASE!$G$2:$G$136,0)))</f>
        <v>14/01/2027</v>
      </c>
      <c r="H47" s="22" t="n">
        <f aca="false" t="array" ref="H47:H47">IF($K47&gt;=9999999,"",INDEX(BASE!$F$2:$F$136,MATCH($K47,BASE!$G$2:$G$136,0)))</f>
        <v>132</v>
      </c>
      <c r="K47" s="1" t="n">
        <f aca="false">SMALL(BASE!$G$2:$G$136,33)</f>
        <v>132.00035</v>
      </c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6.5" hidden="false" customHeight="true" outlineLevel="0" collapsed="false">
      <c r="A48" s="21"/>
      <c r="B48" s="22" t="n">
        <f aca="false">IF($K48&gt;=9999999,"",34)</f>
        <v>34</v>
      </c>
      <c r="C48" s="22" t="str">
        <f aca="false" t="array" ref="C48:C48">IF($K48&gt;=9999999,"",INDEX(BASE!$A$2:$A$136,MATCH($K48,BASE!$G$2:$G$136,0)))</f>
        <v>Condutor</v>
      </c>
      <c r="D48" s="22" t="str">
        <f aca="false" t="array" ref="D48:D48">IF($K48&gt;=9999999,"",INDEX(BASE!$B$2:$B$136,MATCH($K48,BASE!$G$2:$G$136,0)))</f>
        <v>131.743.227-40</v>
      </c>
      <c r="E48" s="23" t="str">
        <f aca="false" t="array" ref="E48:E48">IF($K48&gt;=9999999,"",IF(INDEX(BASE!$C$2:$C$136,MATCH($K48,BASE!$G$2:$G$136,0))=0,"",INDEX(BASE!$C$2:$C$136,MATCH($K48,BASE!$G$2:$G$136,0))))</f>
        <v>GLEDSON PEREIRA FRANCISCO</v>
      </c>
      <c r="F48" s="22" t="str">
        <f aca="false" t="array" ref="F48:F48">IF($K48&gt;=9999999,"",INDEX(BASE!$D$2:$D$136,MATCH($K48,BASE!$G$2:$G$136,0)))</f>
        <v>TEM PERFIL</v>
      </c>
      <c r="G48" s="24" t="str">
        <f aca="false" t="array" ref="G48:G48">IF($K48&gt;=9999999,"",INDEX(BASE!$E$2:$E$136,MATCH($K48,BASE!$G$2:$G$136,0)))</f>
        <v>14/01/2027</v>
      </c>
      <c r="H48" s="22" t="n">
        <f aca="false" t="array" ref="H48:H48">IF($K48&gt;=9999999,"",INDEX(BASE!$F$2:$F$136,MATCH($K48,BASE!$G$2:$G$136,0)))</f>
        <v>132</v>
      </c>
      <c r="K48" s="1" t="n">
        <f aca="false">SMALL(BASE!$G$2:$G$136,34)</f>
        <v>132.00092</v>
      </c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6.5" hidden="false" customHeight="true" outlineLevel="0" collapsed="false">
      <c r="A49" s="21"/>
      <c r="B49" s="22" t="n">
        <f aca="false">IF($K49&gt;=9999999,"",35)</f>
        <v>35</v>
      </c>
      <c r="C49" s="22" t="str">
        <f aca="false" t="array" ref="C49:C49">IF($K49&gt;=9999999,"",INDEX(BASE!$A$2:$A$136,MATCH($K49,BASE!$G$2:$G$136,0)))</f>
        <v>Condutor</v>
      </c>
      <c r="D49" s="22" t="str">
        <f aca="false" t="array" ref="D49:D49">IF($K49&gt;=9999999,"",INDEX(BASE!$B$2:$B$136,MATCH($K49,BASE!$G$2:$G$136,0)))</f>
        <v>107.340.697-07</v>
      </c>
      <c r="E49" s="23" t="str">
        <f aca="false" t="array" ref="E49:E49">IF($K49&gt;=9999999,"",IF(INDEX(BASE!$C$2:$C$136,MATCH($K49,BASE!$G$2:$G$136,0))=0,"",INDEX(BASE!$C$2:$C$136,MATCH($K49,BASE!$G$2:$G$136,0))))</f>
        <v>AUGUSTO CESAR DA APARECIDA</v>
      </c>
      <c r="F49" s="22" t="str">
        <f aca="false" t="array" ref="F49:F49">IF($K49&gt;=9999999,"",INDEX(BASE!$D$2:$D$136,MATCH($K49,BASE!$G$2:$G$136,0)))</f>
        <v>TEM PERFIL</v>
      </c>
      <c r="G49" s="24" t="str">
        <f aca="false" t="array" ref="G49:G49">IF($K49&gt;=9999999,"",INDEX(BASE!$E$2:$E$136,MATCH($K49,BASE!$G$2:$G$136,0)))</f>
        <v>14/01/2027</v>
      </c>
      <c r="H49" s="22" t="n">
        <f aca="false" t="array" ref="H49:H49">IF($K49&gt;=9999999,"",INDEX(BASE!$F$2:$F$136,MATCH($K49,BASE!$G$2:$G$136,0)))</f>
        <v>132</v>
      </c>
      <c r="K49" s="1" t="n">
        <f aca="false">SMALL(BASE!$G$2:$G$136,35)</f>
        <v>132.00093</v>
      </c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6.5" hidden="false" customHeight="true" outlineLevel="0" collapsed="false">
      <c r="A50" s="21"/>
      <c r="B50" s="22" t="n">
        <f aca="false">IF($K50&gt;=9999999,"",36)</f>
        <v>36</v>
      </c>
      <c r="C50" s="22" t="str">
        <f aca="false" t="array" ref="C50:C50">IF($K50&gt;=9999999,"",INDEX(BASE!$A$2:$A$136,MATCH($K50,BASE!$G$2:$G$136,0)))</f>
        <v>Condutor</v>
      </c>
      <c r="D50" s="22" t="str">
        <f aca="false" t="array" ref="D50:D50">IF($K50&gt;=9999999,"",INDEX(BASE!$B$2:$B$136,MATCH($K50,BASE!$G$2:$G$136,0)))</f>
        <v>143.501.117-19</v>
      </c>
      <c r="E50" s="23" t="str">
        <f aca="false" t="array" ref="E50:E50">IF($K50&gt;=9999999,"",IF(INDEX(BASE!$C$2:$C$136,MATCH($K50,BASE!$G$2:$G$136,0))=0,"",INDEX(BASE!$C$2:$C$136,MATCH($K50,BASE!$G$2:$G$136,0))))</f>
        <v>FRANKLIN DE AZEVEDO RIBEIRO</v>
      </c>
      <c r="F50" s="22" t="str">
        <f aca="false" t="array" ref="F50:F50">IF($K50&gt;=9999999,"",INDEX(BASE!$D$2:$D$136,MATCH($K50,BASE!$G$2:$G$136,0)))</f>
        <v>TEM PERFIL</v>
      </c>
      <c r="G50" s="24" t="str">
        <f aca="false" t="array" ref="G50:G50">IF($K50&gt;=9999999,"",INDEX(BASE!$E$2:$E$136,MATCH($K50,BASE!$G$2:$G$136,0)))</f>
        <v>15/01/2027</v>
      </c>
      <c r="H50" s="22" t="n">
        <f aca="false" t="array" ref="H50:H50">IF($K50&gt;=9999999,"",INDEX(BASE!$F$2:$F$136,MATCH($K50,BASE!$G$2:$G$136,0)))</f>
        <v>133</v>
      </c>
      <c r="K50" s="1" t="n">
        <f aca="false">SMALL(BASE!$G$2:$G$136,36)</f>
        <v>133.00087</v>
      </c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6.5" hidden="false" customHeight="true" outlineLevel="0" collapsed="false">
      <c r="B51" s="25" t="n">
        <f aca="false">IF($K51&gt;=9999999,"",37)</f>
        <v>37</v>
      </c>
      <c r="C51" s="25" t="str">
        <f aca="false" t="array" ref="C51:C51">IF($K51&gt;=9999999,"",INDEX(BASE!$A$2:$A$136,MATCH($K51,BASE!$G$2:$G$136,0)))</f>
        <v>Condutor</v>
      </c>
      <c r="D51" s="25" t="str">
        <f aca="false" t="array" ref="D51:D51">IF($K51&gt;=9999999,"",INDEX(BASE!$B$2:$B$136,MATCH($K51,BASE!$G$2:$G$136,0)))</f>
        <v>039.322.184-93</v>
      </c>
      <c r="E51" s="26" t="str">
        <f aca="false" t="array" ref="E51:E51">IF($K51&gt;=9999999,"",IF(INDEX(BASE!$C$2:$C$136,MATCH($K51,BASE!$G$2:$G$136,0))=0,"",INDEX(BASE!$C$2:$C$136,MATCH($K51,BASE!$G$2:$G$136,0))))</f>
        <v>MANOEL MESSIAS SANTANA DA SILVA</v>
      </c>
      <c r="F51" s="25" t="str">
        <f aca="false" t="array" ref="F51:F51">IF($K51&gt;=9999999,"",INDEX(BASE!$D$2:$D$136,MATCH($K51,BASE!$G$2:$G$136,0)))</f>
        <v>TEM PERFIL</v>
      </c>
      <c r="G51" s="27" t="str">
        <f aca="false" t="array" ref="G51:G51">IF($K51&gt;=9999999,"",INDEX(BASE!$E$2:$E$136,MATCH($K51,BASE!$G$2:$G$136,0)))</f>
        <v>15/01/2027</v>
      </c>
      <c r="H51" s="25" t="n">
        <f aca="false" t="array" ref="H51:H51">IF($K51&gt;=9999999,"",INDEX(BASE!$F$2:$F$136,MATCH($K51,BASE!$G$2:$G$136,0)))</f>
        <v>133</v>
      </c>
      <c r="K51" s="1" t="n">
        <f aca="false">SMALL(BASE!$G$2:$G$136,37)</f>
        <v>133.00089</v>
      </c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6.5" hidden="false" customHeight="true" outlineLevel="0" collapsed="false">
      <c r="B52" s="22" t="n">
        <f aca="false">IF($K52&gt;=9999999,"",38)</f>
        <v>38</v>
      </c>
      <c r="C52" s="22" t="str">
        <f aca="false" t="array" ref="C52:C52">IF($K52&gt;=9999999,"",INDEX(BASE!$A$2:$A$136,MATCH($K52,BASE!$G$2:$G$136,0)))</f>
        <v>Condutor</v>
      </c>
      <c r="D52" s="22" t="str">
        <f aca="false" t="array" ref="D52:D52">IF($K52&gt;=9999999,"",INDEX(BASE!$B$2:$B$136,MATCH($K52,BASE!$G$2:$G$136,0)))</f>
        <v>017.673.336-17</v>
      </c>
      <c r="E52" s="23" t="str">
        <f aca="false" t="array" ref="E52:E52">IF($K52&gt;=9999999,"",IF(INDEX(BASE!$C$2:$C$136,MATCH($K52,BASE!$G$2:$G$136,0))=0,"",INDEX(BASE!$C$2:$C$136,MATCH($K52,BASE!$G$2:$G$136,0))))</f>
        <v>VICTOR GOMES CATTA PRETA</v>
      </c>
      <c r="F52" s="22" t="str">
        <f aca="false" t="array" ref="F52:F52">IF($K52&gt;=9999999,"",INDEX(BASE!$D$2:$D$136,MATCH($K52,BASE!$G$2:$G$136,0)))</f>
        <v>TEM PERFIL</v>
      </c>
      <c r="G52" s="24" t="str">
        <f aca="false" t="array" ref="G52:G52">IF($K52&gt;=9999999,"",INDEX(BASE!$E$2:$E$136,MATCH($K52,BASE!$G$2:$G$136,0)))</f>
        <v>15/01/2027</v>
      </c>
      <c r="H52" s="22" t="n">
        <f aca="false" t="array" ref="H52:H52">IF($K52&gt;=9999999,"",INDEX(BASE!$F$2:$F$136,MATCH($K52,BASE!$G$2:$G$136,0)))</f>
        <v>133</v>
      </c>
      <c r="K52" s="1" t="n">
        <f aca="false">SMALL(BASE!$G$2:$G$136,38)</f>
        <v>133.00091</v>
      </c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6.5" hidden="false" customHeight="true" outlineLevel="0" collapsed="false">
      <c r="B53" s="22" t="n">
        <f aca="false">IF($K53&gt;=9999999,"",39)</f>
        <v>39</v>
      </c>
      <c r="C53" s="22" t="str">
        <f aca="false" t="array" ref="C53:C53">IF($K53&gt;=9999999,"",INDEX(BASE!$A$2:$A$136,MATCH($K53,BASE!$G$2:$G$136,0)))</f>
        <v>Condutor</v>
      </c>
      <c r="D53" s="22" t="str">
        <f aca="false" t="array" ref="D53:D53">IF($K53&gt;=9999999,"",INDEX(BASE!$B$2:$B$136,MATCH($K53,BASE!$G$2:$G$136,0)))</f>
        <v>127.858.077-82</v>
      </c>
      <c r="E53" s="23" t="str">
        <f aca="false" t="array" ref="E53:E53">IF($K53&gt;=9999999,"",IF(INDEX(BASE!$C$2:$C$136,MATCH($K53,BASE!$G$2:$G$136,0))=0,"",INDEX(BASE!$C$2:$C$136,MATCH($K53,BASE!$G$2:$G$136,0))))</f>
        <v>AILTON DA SILVA FERREIRA</v>
      </c>
      <c r="F53" s="22" t="str">
        <f aca="false" t="array" ref="F53:F53">IF($K53&gt;=9999999,"",INDEX(BASE!$D$2:$D$136,MATCH($K53,BASE!$G$2:$G$136,0)))</f>
        <v>TEM PERFIL</v>
      </c>
      <c r="G53" s="24" t="n">
        <f aca="false" t="array" ref="G53:G53">IF($K53&gt;=9999999,"",INDEX(BASE!$E$2:$E$136,MATCH($K53,BASE!$G$2:$G$136,0)))</f>
        <v>46406</v>
      </c>
      <c r="H53" s="22" t="n">
        <f aca="false" t="array" ref="H53:H53">IF($K53&gt;=9999999,"",INDEX(BASE!$F$2:$F$136,MATCH($K53,BASE!$G$2:$G$136,0)))</f>
        <v>137</v>
      </c>
      <c r="K53" s="1" t="n">
        <f aca="false">SMALL(BASE!$G$2:$G$136,39)</f>
        <v>137.00033</v>
      </c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6.5" hidden="false" customHeight="true" outlineLevel="0" collapsed="false">
      <c r="B54" s="22" t="n">
        <f aca="false">IF($K54&gt;=9999999,"",40)</f>
        <v>40</v>
      </c>
      <c r="C54" s="22" t="str">
        <f aca="false" t="array" ref="C54:C54">IF($K54&gt;=9999999,"",INDEX(BASE!$A$2:$A$136,MATCH($K54,BASE!$G$2:$G$136,0)))</f>
        <v>Condutor</v>
      </c>
      <c r="D54" s="22" t="str">
        <f aca="false" t="array" ref="D54:D54">IF($K54&gt;=9999999,"",INDEX(BASE!$B$2:$B$136,MATCH($K54,BASE!$G$2:$G$136,0)))</f>
        <v>058.232.297-98</v>
      </c>
      <c r="E54" s="23" t="str">
        <f aca="false" t="array" ref="E54:E54">IF($K54&gt;=9999999,"",IF(INDEX(BASE!$C$2:$C$136,MATCH($K54,BASE!$G$2:$G$136,0))=0,"",INDEX(BASE!$C$2:$C$136,MATCH($K54,BASE!$G$2:$G$136,0))))</f>
        <v>CLEVERTON DOS SANTOS</v>
      </c>
      <c r="F54" s="22" t="str">
        <f aca="false" t="array" ref="F54:F54">IF($K54&gt;=9999999,"",INDEX(BASE!$D$2:$D$136,MATCH($K54,BASE!$G$2:$G$136,0)))</f>
        <v>TEM PERFIL</v>
      </c>
      <c r="G54" s="24" t="n">
        <f aca="false" t="array" ref="G54:G54">IF($K54&gt;=9999999,"",INDEX(BASE!$E$2:$E$136,MATCH($K54,BASE!$G$2:$G$136,0)))</f>
        <v>46406</v>
      </c>
      <c r="H54" s="22" t="n">
        <f aca="false" t="array" ref="H54:H54">IF($K54&gt;=9999999,"",INDEX(BASE!$F$2:$F$136,MATCH($K54,BASE!$G$2:$G$136,0)))</f>
        <v>137</v>
      </c>
      <c r="K54" s="1" t="n">
        <f aca="false">SMALL(BASE!$G$2:$G$136,40)</f>
        <v>137.00095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6.5" hidden="false" customHeight="true" outlineLevel="0" collapsed="false">
      <c r="B55" s="22" t="n">
        <f aca="false">IF($K55&gt;=9999999,"",41)</f>
        <v>41</v>
      </c>
      <c r="C55" s="22" t="str">
        <f aca="false" t="array" ref="C55:C55">IF($K55&gt;=9999999,"",INDEX(BASE!$A$2:$A$136,MATCH($K55,BASE!$G$2:$G$136,0)))</f>
        <v>Condutor</v>
      </c>
      <c r="D55" s="22" t="str">
        <f aca="false" t="array" ref="D55:D55">IF($K55&gt;=9999999,"",INDEX(BASE!$B$2:$B$136,MATCH($K55,BASE!$G$2:$G$136,0)))</f>
        <v>413.064.168-80</v>
      </c>
      <c r="E55" s="23" t="str">
        <f aca="false" t="array" ref="E55:E55">IF($K55&gt;=9999999,"",IF(INDEX(BASE!$C$2:$C$136,MATCH($K55,BASE!$G$2:$G$136,0))=0,"",INDEX(BASE!$C$2:$C$136,MATCH($K55,BASE!$G$2:$G$136,0))))</f>
        <v>WESLEY DOS SANTOS SOUZA</v>
      </c>
      <c r="F55" s="22" t="str">
        <f aca="false" t="array" ref="F55:F55">IF($K55&gt;=9999999,"",INDEX(BASE!$D$2:$D$136,MATCH($K55,BASE!$G$2:$G$136,0)))</f>
        <v>TEM PERFIL</v>
      </c>
      <c r="G55" s="24" t="n">
        <f aca="false" t="array" ref="G55:G55">IF($K55&gt;=9999999,"",INDEX(BASE!$E$2:$E$136,MATCH($K55,BASE!$G$2:$G$136,0)))</f>
        <v>46406</v>
      </c>
      <c r="H55" s="22" t="n">
        <f aca="false" t="array" ref="H55:H55">IF($K55&gt;=9999999,"",INDEX(BASE!$F$2:$F$136,MATCH($K55,BASE!$G$2:$G$136,0)))</f>
        <v>137</v>
      </c>
      <c r="K55" s="1" t="n">
        <f aca="false">SMALL(BASE!$G$2:$G$136,41)</f>
        <v>137.00096</v>
      </c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6.5" hidden="false" customHeight="true" outlineLevel="0" collapsed="false">
      <c r="B56" s="22" t="n">
        <f aca="false">IF($K56&gt;=9999999,"",42)</f>
        <v>42</v>
      </c>
      <c r="C56" s="22" t="str">
        <f aca="false" t="array" ref="C56:C56">IF($K56&gt;=9999999,"",INDEX(BASE!$A$2:$A$136,MATCH($K56,BASE!$G$2:$G$136,0)))</f>
        <v>Condutor</v>
      </c>
      <c r="D56" s="22" t="str">
        <f aca="false" t="array" ref="D56:D56">IF($K56&gt;=9999999,"",INDEX(BASE!$B$2:$B$136,MATCH($K56,BASE!$G$2:$G$136,0)))</f>
        <v>085.107.795-11</v>
      </c>
      <c r="E56" s="23" t="str">
        <f aca="false" t="array" ref="E56:E56">IF($K56&gt;=9999999,"",IF(INDEX(BASE!$C$2:$C$136,MATCH($K56,BASE!$G$2:$G$136,0))=0,"",INDEX(BASE!$C$2:$C$136,MATCH($K56,BASE!$G$2:$G$136,0))))</f>
        <v>GLEIDSON CALIXTO DO SANTOS</v>
      </c>
      <c r="F56" s="22" t="str">
        <f aca="false" t="array" ref="F56:F56">IF($K56&gt;=9999999,"",INDEX(BASE!$D$2:$D$136,MATCH($K56,BASE!$G$2:$G$136,0)))</f>
        <v>TEM PERFIL</v>
      </c>
      <c r="G56" s="24" t="n">
        <f aca="false" t="array" ref="G56:G56">IF($K56&gt;=9999999,"",INDEX(BASE!$E$2:$E$136,MATCH($K56,BASE!$G$2:$G$136,0)))</f>
        <v>46406</v>
      </c>
      <c r="H56" s="22" t="n">
        <f aca="false" t="array" ref="H56:H56">IF($K56&gt;=9999999,"",INDEX(BASE!$F$2:$F$136,MATCH($K56,BASE!$G$2:$G$136,0)))</f>
        <v>137</v>
      </c>
      <c r="K56" s="1" t="n">
        <f aca="false">SMALL(BASE!$G$2:$G$136,42)</f>
        <v>137.00097</v>
      </c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6.5" hidden="false" customHeight="true" outlineLevel="0" collapsed="false">
      <c r="B57" s="22" t="n">
        <f aca="false">IF($K57&gt;=9999999,"",43)</f>
        <v>43</v>
      </c>
      <c r="C57" s="22" t="str">
        <f aca="false" t="array" ref="C57:C57">IF($K57&gt;=9999999,"",INDEX(BASE!$A$2:$A$136,MATCH($K57,BASE!$G$2:$G$136,0)))</f>
        <v>Condutor</v>
      </c>
      <c r="D57" s="22" t="str">
        <f aca="false" t="array" ref="D57:D57">IF($K57&gt;=9999999,"",INDEX(BASE!$B$2:$B$136,MATCH($K57,BASE!$G$2:$G$136,0)))</f>
        <v>036.870.961-22</v>
      </c>
      <c r="E57" s="23" t="str">
        <f aca="false" t="array" ref="E57:E57">IF($K57&gt;=9999999,"",IF(INDEX(BASE!$C$2:$C$136,MATCH($K57,BASE!$G$2:$G$136,0))=0,"",INDEX(BASE!$C$2:$C$136,MATCH($K57,BASE!$G$2:$G$136,0))))</f>
        <v>ALEXANDRE AMORIM DE SOUZA</v>
      </c>
      <c r="F57" s="22" t="str">
        <f aca="false" t="array" ref="F57:F57">IF($K57&gt;=9999999,"",INDEX(BASE!$D$2:$D$136,MATCH($K57,BASE!$G$2:$G$136,0)))</f>
        <v>TEM PERFIL</v>
      </c>
      <c r="G57" s="24" t="str">
        <f aca="false" t="array" ref="G57:G57">IF($K57&gt;=9999999,"",INDEX(BASE!$E$2:$E$136,MATCH($K57,BASE!$G$2:$G$136,0)))</f>
        <v>19/01/2027</v>
      </c>
      <c r="H57" s="22" t="n">
        <f aca="false" t="array" ref="H57:H57">IF($K57&gt;=9999999,"",INDEX(BASE!$F$2:$F$136,MATCH($K57,BASE!$G$2:$G$136,0)))</f>
        <v>137</v>
      </c>
      <c r="K57" s="1" t="n">
        <f aca="false">SMALL(BASE!$G$2:$G$136,43)</f>
        <v>137.0011</v>
      </c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6.5" hidden="false" customHeight="true" outlineLevel="0" collapsed="false">
      <c r="B58" s="22" t="n">
        <f aca="false">IF($K58&gt;=9999999,"",44)</f>
        <v>44</v>
      </c>
      <c r="C58" s="22" t="str">
        <f aca="false" t="array" ref="C58:C58">IF($K58&gt;=9999999,"",INDEX(BASE!$A$2:$A$136,MATCH($K58,BASE!$G$2:$G$136,0)))</f>
        <v>Funcionário</v>
      </c>
      <c r="D58" s="22" t="str">
        <f aca="false" t="array" ref="D58:D58">IF($K58&gt;=9999999,"",INDEX(BASE!$B$2:$B$136,MATCH($K58,BASE!$G$2:$G$136,0)))</f>
        <v>058.232.297-98</v>
      </c>
      <c r="E58" s="23" t="str">
        <f aca="false" t="array" ref="E58:E58">IF($K58&gt;=9999999,"",IF(INDEX(BASE!$C$2:$C$136,MATCH($K58,BASE!$G$2:$G$136,0))=0,"",INDEX(BASE!$C$2:$C$136,MATCH($K58,BASE!$G$2:$G$136,0))))</f>
        <v>CLEVERTON DOS SANTOS</v>
      </c>
      <c r="F58" s="22" t="str">
        <f aca="false" t="array" ref="F58:F58">IF($K58&gt;=9999999,"",INDEX(BASE!$D$2:$D$136,MATCH($K58,BASE!$G$2:$G$136,0)))</f>
        <v>TEM PERFIL</v>
      </c>
      <c r="G58" s="24" t="str">
        <f aca="false" t="array" ref="G58:G58">IF($K58&gt;=9999999,"",INDEX(BASE!$E$2:$E$136,MATCH($K58,BASE!$G$2:$G$136,0)))</f>
        <v>19/01/2027</v>
      </c>
      <c r="H58" s="22" t="n">
        <f aca="false" t="array" ref="H58:H58">IF($K58&gt;=9999999,"",INDEX(BASE!$F$2:$F$136,MATCH($K58,BASE!$G$2:$G$136,0)))</f>
        <v>137</v>
      </c>
      <c r="K58" s="1" t="n">
        <f aca="false">SMALL(BASE!$G$2:$G$136,44)</f>
        <v>137.00122</v>
      </c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6.5" hidden="false" customHeight="true" outlineLevel="0" collapsed="false">
      <c r="B59" s="22" t="n">
        <f aca="false">IF($K59&gt;=9999999,"",45)</f>
        <v>45</v>
      </c>
      <c r="C59" s="22" t="str">
        <f aca="false" t="array" ref="C59:C59">IF($K59&gt;=9999999,"",INDEX(BASE!$A$2:$A$136,MATCH($K59,BASE!$G$2:$G$136,0)))</f>
        <v>Funcionário</v>
      </c>
      <c r="D59" s="22" t="str">
        <f aca="false" t="array" ref="D59:D59">IF($K59&gt;=9999999,"",INDEX(BASE!$B$2:$B$136,MATCH($K59,BASE!$G$2:$G$136,0)))</f>
        <v>175.662.527-12</v>
      </c>
      <c r="E59" s="23" t="str">
        <f aca="false" t="array" ref="E59:E59">IF($K59&gt;=9999999,"",IF(INDEX(BASE!$C$2:$C$136,MATCH($K59,BASE!$G$2:$G$136,0))=0,"",INDEX(BASE!$C$2:$C$136,MATCH($K59,BASE!$G$2:$G$136,0))))</f>
        <v>MATHEUS TEIXEIRA MEDEIROS MACHADO</v>
      </c>
      <c r="F59" s="22" t="str">
        <f aca="false" t="array" ref="F59:F59">IF($K59&gt;=9999999,"",INDEX(BASE!$D$2:$D$136,MATCH($K59,BASE!$G$2:$G$136,0)))</f>
        <v>TEM PERFIL</v>
      </c>
      <c r="G59" s="24" t="n">
        <f aca="false" t="array" ref="G59:G59">IF($K59&gt;=9999999,"",INDEX(BASE!$E$2:$E$136,MATCH($K59,BASE!$G$2:$G$136,0)))</f>
        <v>46406</v>
      </c>
      <c r="H59" s="22" t="n">
        <f aca="false" t="array" ref="H59:H59">IF($K59&gt;=9999999,"",INDEX(BASE!$F$2:$F$136,MATCH($K59,BASE!$G$2:$G$136,0)))</f>
        <v>137</v>
      </c>
      <c r="K59" s="1" t="n">
        <f aca="false">SMALL(BASE!$G$2:$G$136,45)</f>
        <v>137.00124</v>
      </c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6.5" hidden="false" customHeight="true" outlineLevel="0" collapsed="false">
      <c r="B60" s="22" t="n">
        <f aca="false">IF($K60&gt;=9999999,"",46)</f>
        <v>46</v>
      </c>
      <c r="C60" s="22" t="str">
        <f aca="false" t="array" ref="C60:C60">IF($K60&gt;=9999999,"",INDEX(BASE!$A$2:$A$136,MATCH($K60,BASE!$G$2:$G$136,0)))</f>
        <v>Funcionário</v>
      </c>
      <c r="D60" s="22" t="str">
        <f aca="false" t="array" ref="D60:D60">IF($K60&gt;=9999999,"",INDEX(BASE!$B$2:$B$136,MATCH($K60,BASE!$G$2:$G$136,0)))</f>
        <v>147.345.877-36</v>
      </c>
      <c r="E60" s="23" t="str">
        <f aca="false" t="array" ref="E60:E60">IF($K60&gt;=9999999,"",IF(INDEX(BASE!$C$2:$C$136,MATCH($K60,BASE!$G$2:$G$136,0))=0,"",INDEX(BASE!$C$2:$C$136,MATCH($K60,BASE!$G$2:$G$136,0))))</f>
        <v>RAPHAEL AZEVEDO MAIA</v>
      </c>
      <c r="F60" s="22" t="str">
        <f aca="false" t="array" ref="F60:F60">IF($K60&gt;=9999999,"",INDEX(BASE!$D$2:$D$136,MATCH($K60,BASE!$G$2:$G$136,0)))</f>
        <v>TEM PERFIL</v>
      </c>
      <c r="G60" s="24" t="n">
        <f aca="false" t="array" ref="G60:G60">IF($K60&gt;=9999999,"",INDEX(BASE!$E$2:$E$136,MATCH($K60,BASE!$G$2:$G$136,0)))</f>
        <v>46406</v>
      </c>
      <c r="H60" s="22" t="n">
        <f aca="false" t="array" ref="H60:H60">IF($K60&gt;=9999999,"",INDEX(BASE!$F$2:$F$136,MATCH($K60,BASE!$G$2:$G$136,0)))</f>
        <v>137</v>
      </c>
      <c r="K60" s="1" t="n">
        <f aca="false">SMALL(BASE!$G$2:$G$136,46)</f>
        <v>137.00125</v>
      </c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6.5" hidden="false" customHeight="true" outlineLevel="0" collapsed="false">
      <c r="B61" s="22" t="n">
        <f aca="false">IF($K61&gt;=9999999,"",47)</f>
        <v>47</v>
      </c>
      <c r="C61" s="22" t="str">
        <f aca="false" t="array" ref="C61:C61">IF($K61&gt;=9999999,"",INDEX(BASE!$A$2:$A$136,MATCH($K61,BASE!$G$2:$G$136,0)))</f>
        <v>Funcionário</v>
      </c>
      <c r="D61" s="22" t="str">
        <f aca="false" t="array" ref="D61:D61">IF($K61&gt;=9999999,"",INDEX(BASE!$B$2:$B$136,MATCH($K61,BASE!$G$2:$G$136,0)))</f>
        <v>768.877.741-00</v>
      </c>
      <c r="E61" s="23" t="str">
        <f aca="false" t="array" ref="E61:E61">IF($K61&gt;=9999999,"",IF(INDEX(BASE!$C$2:$C$136,MATCH($K61,BASE!$G$2:$G$136,0))=0,"",INDEX(BASE!$C$2:$C$136,MATCH($K61,BASE!$G$2:$G$136,0))))</f>
        <v>MARCIO GEORGE SAMPAIO DE FARIAS</v>
      </c>
      <c r="F61" s="22" t="str">
        <f aca="false" t="array" ref="F61:F61">IF($K61&gt;=9999999,"",INDEX(BASE!$D$2:$D$136,MATCH($K61,BASE!$G$2:$G$136,0)))</f>
        <v>TEM PERFIL</v>
      </c>
      <c r="G61" s="24" t="n">
        <f aca="false" t="array" ref="G61:G61">IF($K61&gt;=9999999,"",INDEX(BASE!$E$2:$E$136,MATCH($K61,BASE!$G$2:$G$136,0)))</f>
        <v>46406</v>
      </c>
      <c r="H61" s="22" t="n">
        <f aca="false" t="array" ref="H61:H61">IF($K61&gt;=9999999,"",INDEX(BASE!$F$2:$F$136,MATCH($K61,BASE!$G$2:$G$136,0)))</f>
        <v>137</v>
      </c>
      <c r="K61" s="1" t="n">
        <f aca="false">SMALL(BASE!$G$2:$G$136,47)</f>
        <v>137.00126</v>
      </c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6.5" hidden="false" customHeight="true" outlineLevel="0" collapsed="false">
      <c r="B62" s="22" t="n">
        <f aca="false">IF($K62&gt;=9999999,"",48)</f>
        <v>48</v>
      </c>
      <c r="C62" s="22" t="str">
        <f aca="false" t="array" ref="C62:C62">IF($K62&gt;=9999999,"",INDEX(BASE!$A$2:$A$136,MATCH($K62,BASE!$G$2:$G$136,0)))</f>
        <v>Condutor</v>
      </c>
      <c r="D62" s="22" t="str">
        <f aca="false" t="array" ref="D62:D62">IF($K62&gt;=9999999,"",INDEX(BASE!$B$2:$B$136,MATCH($K62,BASE!$G$2:$G$136,0)))</f>
        <v>118.848.377-35</v>
      </c>
      <c r="E62" s="23" t="str">
        <f aca="false" t="array" ref="E62:E62">IF($K62&gt;=9999999,"",IF(INDEX(BASE!$C$2:$C$136,MATCH($K62,BASE!$G$2:$G$136,0))=0,"",INDEX(BASE!$C$2:$C$136,MATCH($K62,BASE!$G$2:$G$136,0))))</f>
        <v>GILBERTO DA SILVA MIGUEL JUNIOR</v>
      </c>
      <c r="F62" s="22" t="str">
        <f aca="false" t="array" ref="F62:F62">IF($K62&gt;=9999999,"",INDEX(BASE!$D$2:$D$136,MATCH($K62,BASE!$G$2:$G$136,0)))</f>
        <v>TEM PERFIL</v>
      </c>
      <c r="G62" s="24" t="str">
        <f aca="false" t="array" ref="G62:G62">IF($K62&gt;=9999999,"",INDEX(BASE!$E$2:$E$136,MATCH($K62,BASE!$G$2:$G$136,0)))</f>
        <v>26/01/2027</v>
      </c>
      <c r="H62" s="22" t="n">
        <f aca="false" t="array" ref="H62:H62">IF($K62&gt;=9999999,"",INDEX(BASE!$F$2:$F$136,MATCH($K62,BASE!$G$2:$G$136,0)))</f>
        <v>144</v>
      </c>
      <c r="K62" s="1" t="n">
        <f aca="false">SMALL(BASE!$G$2:$G$136,48)</f>
        <v>144.00108</v>
      </c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6.5" hidden="false" customHeight="true" outlineLevel="0" collapsed="false">
      <c r="B63" s="22" t="n">
        <f aca="false">IF($K63&gt;=9999999,"",49)</f>
        <v>49</v>
      </c>
      <c r="C63" s="22" t="str">
        <f aca="false" t="array" ref="C63:C63">IF($K63&gt;=9999999,"",INDEX(BASE!$A$2:$A$136,MATCH($K63,BASE!$G$2:$G$136,0)))</f>
        <v>Condutor</v>
      </c>
      <c r="D63" s="22" t="str">
        <f aca="false" t="array" ref="D63:D63">IF($K63&gt;=9999999,"",INDEX(BASE!$B$2:$B$136,MATCH($K63,BASE!$G$2:$G$136,0)))</f>
        <v>046.603.256-01</v>
      </c>
      <c r="E63" s="23" t="str">
        <f aca="false" t="array" ref="E63:E63">IF($K63&gt;=9999999,"",IF(INDEX(BASE!$C$2:$C$136,MATCH($K63,BASE!$G$2:$G$136,0))=0,"",INDEX(BASE!$C$2:$C$136,MATCH($K63,BASE!$G$2:$G$136,0))))</f>
        <v>ALISSON SANTOS VELOSO</v>
      </c>
      <c r="F63" s="22" t="str">
        <f aca="false" t="array" ref="F63:F63">IF($K63&gt;=9999999,"",INDEX(BASE!$D$2:$D$136,MATCH($K63,BASE!$G$2:$G$136,0)))</f>
        <v>TEM PERFIL</v>
      </c>
      <c r="G63" s="24" t="str">
        <f aca="false" t="array" ref="G63:G63">IF($K63&gt;=9999999,"",INDEX(BASE!$E$2:$E$136,MATCH($K63,BASE!$G$2:$G$136,0)))</f>
        <v>26/01/2027</v>
      </c>
      <c r="H63" s="22" t="n">
        <f aca="false" t="array" ref="H63:H63">IF($K63&gt;=9999999,"",INDEX(BASE!$F$2:$F$136,MATCH($K63,BASE!$G$2:$G$136,0)))</f>
        <v>144</v>
      </c>
      <c r="K63" s="1" t="n">
        <f aca="false">SMALL(BASE!$G$2:$G$136,49)</f>
        <v>144.00109</v>
      </c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6.5" hidden="false" customHeight="true" outlineLevel="0" collapsed="false">
      <c r="B64" s="22" t="n">
        <f aca="false">IF($K64&gt;=9999999,"",50)</f>
        <v>50</v>
      </c>
      <c r="C64" s="22" t="str">
        <f aca="false" t="array" ref="C64:C64">IF($K64&gt;=9999999,"",INDEX(BASE!$A$2:$A$136,MATCH($K64,BASE!$G$2:$G$136,0)))</f>
        <v>Veículo</v>
      </c>
      <c r="D64" s="22" t="str">
        <f aca="false" t="array" ref="D64:D64">IF($K64&gt;=9999999,"",INDEX(BASE!$B$2:$B$136,MATCH($K64,BASE!$G$2:$G$136,0)))</f>
        <v>SWN5C43</v>
      </c>
      <c r="E64" s="23" t="str">
        <f aca="false" t="array" ref="E64:E64">IF($K64&gt;=9999999,"",IF(INDEX(BASE!$C$2:$C$136,MATCH($K64,BASE!$G$2:$G$136,0))=0,"",INDEX(BASE!$C$2:$C$136,MATCH($K64,BASE!$G$2:$G$136,0))))</f>
        <v/>
      </c>
      <c r="F64" s="22" t="str">
        <f aca="false" t="array" ref="F64:F64">IF($K64&gt;=9999999,"",INDEX(BASE!$D$2:$D$136,MATCH($K64,BASE!$G$2:$G$136,0)))</f>
        <v>TEM PERFIL</v>
      </c>
      <c r="G64" s="24" t="str">
        <f aca="false" t="array" ref="G64:G64">IF($K64&gt;=9999999,"",INDEX(BASE!$E$2:$E$136,MATCH($K64,BASE!$G$2:$G$136,0)))</f>
        <v>28/01/2027</v>
      </c>
      <c r="H64" s="22" t="n">
        <f aca="false" t="array" ref="H64:H64">IF($K64&gt;=9999999,"",INDEX(BASE!$F$2:$F$136,MATCH($K64,BASE!$G$2:$G$136,0)))</f>
        <v>146</v>
      </c>
      <c r="K64" s="1" t="n">
        <f aca="false">SMALL(BASE!$G$2:$G$136,50)</f>
        <v>146.00018</v>
      </c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6.5" hidden="false" customHeight="true" outlineLevel="0" collapsed="false">
      <c r="B65" s="22" t="n">
        <f aca="false">IF($K65&gt;=9999999,"",51)</f>
        <v>51</v>
      </c>
      <c r="C65" s="22" t="str">
        <f aca="false" t="array" ref="C65:C65">IF($K65&gt;=9999999,"",INDEX(BASE!$A$2:$A$136,MATCH($K65,BASE!$G$2:$G$136,0)))</f>
        <v>Veículo</v>
      </c>
      <c r="D65" s="22" t="str">
        <f aca="false" t="array" ref="D65:D65">IF($K65&gt;=9999999,"",INDEX(BASE!$B$2:$B$136,MATCH($K65,BASE!$G$2:$G$136,0)))</f>
        <v>STU7G01</v>
      </c>
      <c r="E65" s="23" t="str">
        <f aca="false" t="array" ref="E65:E65">IF($K65&gt;=9999999,"",IF(INDEX(BASE!$C$2:$C$136,MATCH($K65,BASE!$G$2:$G$136,0))=0,"",INDEX(BASE!$C$2:$C$136,MATCH($K65,BASE!$G$2:$G$136,0))))</f>
        <v/>
      </c>
      <c r="F65" s="22" t="str">
        <f aca="false" t="array" ref="F65:F65">IF($K65&gt;=9999999,"",INDEX(BASE!$D$2:$D$136,MATCH($K65,BASE!$G$2:$G$136,0)))</f>
        <v>TEM PERFIL</v>
      </c>
      <c r="G65" s="22" t="str">
        <f aca="false" t="array" ref="G65:G65">IF($K65&gt;=9999999,"",INDEX(BASE!$E$2:$E$136,MATCH($K65,BASE!$G$2:$G$136,0)))</f>
        <v>28/01/2027</v>
      </c>
      <c r="H65" s="22" t="n">
        <f aca="false" t="array" ref="H65:H65">IF($K65&gt;=9999999,"",INDEX(BASE!$F$2:$F$136,MATCH($K65,BASE!$G$2:$G$136,0)))</f>
        <v>146</v>
      </c>
      <c r="K65" s="1" t="n">
        <f aca="false">SMALL(BASE!$G$2:$G$136,51)</f>
        <v>146.00019</v>
      </c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6.5" hidden="false" customHeight="true" outlineLevel="0" collapsed="false">
      <c r="B66" s="22" t="n">
        <f aca="false">IF($K66&gt;=9999999,"",52)</f>
        <v>52</v>
      </c>
      <c r="C66" s="22" t="str">
        <f aca="false" t="array" ref="C66:C66">IF($K66&gt;=9999999,"",INDEX(BASE!$A$2:$A$136,MATCH($K66,BASE!$G$2:$G$136,0)))</f>
        <v>Veículo</v>
      </c>
      <c r="D66" s="22" t="str">
        <f aca="false" t="array" ref="D66:D66">IF($K66&gt;=9999999,"",INDEX(BASE!$B$2:$B$136,MATCH($K66,BASE!$G$2:$G$136,0)))</f>
        <v>FPI3H41</v>
      </c>
      <c r="E66" s="23" t="str">
        <f aca="false" t="array" ref="E66:E66">IF($K66&gt;=9999999,"",IF(INDEX(BASE!$C$2:$C$136,MATCH($K66,BASE!$G$2:$G$136,0))=0,"",INDEX(BASE!$C$2:$C$136,MATCH($K66,BASE!$G$2:$G$136,0))))</f>
        <v/>
      </c>
      <c r="F66" s="22" t="str">
        <f aca="false" t="array" ref="F66:F66">IF($K66&gt;=9999999,"",INDEX(BASE!$D$2:$D$136,MATCH($K66,BASE!$G$2:$G$136,0)))</f>
        <v>TEM PERFIL</v>
      </c>
      <c r="G66" s="22" t="str">
        <f aca="false" t="array" ref="G66:G66">IF($K66&gt;=9999999,"",INDEX(BASE!$E$2:$E$136,MATCH($K66,BASE!$G$2:$G$136,0)))</f>
        <v>28/01/2027</v>
      </c>
      <c r="H66" s="22" t="n">
        <f aca="false" t="array" ref="H66:H66">IF($K66&gt;=9999999,"",INDEX(BASE!$F$2:$F$136,MATCH($K66,BASE!$G$2:$G$136,0)))</f>
        <v>146</v>
      </c>
      <c r="K66" s="1" t="n">
        <f aca="false">SMALL(BASE!$G$2:$G$136,52)</f>
        <v>146.00021</v>
      </c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6.5" hidden="false" customHeight="true" outlineLevel="0" collapsed="false">
      <c r="B67" s="22" t="n">
        <f aca="false">IF($K67&gt;=9999999,"",53)</f>
        <v>53</v>
      </c>
      <c r="C67" s="22" t="str">
        <f aca="false" t="array" ref="C67:C67">IF($K67&gt;=9999999,"",INDEX(BASE!$A$2:$A$136,MATCH($K67,BASE!$G$2:$G$136,0)))</f>
        <v>Veículo</v>
      </c>
      <c r="D67" s="22" t="str">
        <f aca="false" t="array" ref="D67:D67">IF($K67&gt;=9999999,"",INDEX(BASE!$B$2:$B$136,MATCH($K67,BASE!$G$2:$G$136,0)))</f>
        <v>IYX5I53</v>
      </c>
      <c r="E67" s="23" t="str">
        <f aca="false" t="array" ref="E67:E67">IF($K67&gt;=9999999,"",IF(INDEX(BASE!$C$2:$C$136,MATCH($K67,BASE!$G$2:$G$136,0))=0,"",INDEX(BASE!$C$2:$C$136,MATCH($K67,BASE!$G$2:$G$136,0))))</f>
        <v/>
      </c>
      <c r="F67" s="22" t="str">
        <f aca="false" t="array" ref="F67:F67">IF($K67&gt;=9999999,"",INDEX(BASE!$D$2:$D$136,MATCH($K67,BASE!$G$2:$G$136,0)))</f>
        <v>TEM PERFIL</v>
      </c>
      <c r="G67" s="24" t="str">
        <f aca="false" t="array" ref="G67:G67">IF($K67&gt;=9999999,"",INDEX(BASE!$E$2:$E$136,MATCH($K67,BASE!$G$2:$G$136,0)))</f>
        <v>28/01/2027</v>
      </c>
      <c r="H67" s="22" t="n">
        <f aca="false" t="array" ref="H67:H67">IF($K67&gt;=9999999,"",INDEX(BASE!$F$2:$F$136,MATCH($K67,BASE!$G$2:$G$136,0)))</f>
        <v>146</v>
      </c>
      <c r="K67" s="1" t="n">
        <f aca="false">SMALL(BASE!$G$2:$G$136,53)</f>
        <v>146.00022</v>
      </c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6.5" hidden="false" customHeight="true" outlineLevel="0" collapsed="false">
      <c r="B68" s="22" t="n">
        <f aca="false">IF($K68&gt;=9999999,"",54)</f>
        <v>54</v>
      </c>
      <c r="C68" s="22" t="str">
        <f aca="false" t="array" ref="C68:C68">IF($K68&gt;=9999999,"",INDEX(BASE!$A$2:$A$136,MATCH($K68,BASE!$G$2:$G$136,0)))</f>
        <v>Veículo</v>
      </c>
      <c r="D68" s="22" t="str">
        <f aca="false" t="array" ref="D68:D68">IF($K68&gt;=9999999,"",INDEX(BASE!$B$2:$B$136,MATCH($K68,BASE!$G$2:$G$136,0)))</f>
        <v>OVT6J59</v>
      </c>
      <c r="E68" s="23" t="str">
        <f aca="false" t="array" ref="E68:E68">IF($K68&gt;=9999999,"",IF(INDEX(BASE!$C$2:$C$136,MATCH($K68,BASE!$G$2:$G$136,0))=0,"",INDEX(BASE!$C$2:$C$136,MATCH($K68,BASE!$G$2:$G$136,0))))</f>
        <v/>
      </c>
      <c r="F68" s="22" t="str">
        <f aca="false" t="array" ref="F68:F68">IF($K68&gt;=9999999,"",INDEX(BASE!$D$2:$D$136,MATCH($K68,BASE!$G$2:$G$136,0)))</f>
        <v>TEM PERFIL</v>
      </c>
      <c r="G68" s="24" t="str">
        <f aca="false" t="array" ref="G68:G68">IF($K68&gt;=9999999,"",INDEX(BASE!$E$2:$E$136,MATCH($K68,BASE!$G$2:$G$136,0)))</f>
        <v>28/01/2027</v>
      </c>
      <c r="H68" s="22" t="n">
        <f aca="false" t="array" ref="H68:H68">IF($K68&gt;=9999999,"",INDEX(BASE!$F$2:$F$136,MATCH($K68,BASE!$G$2:$G$136,0)))</f>
        <v>146</v>
      </c>
      <c r="K68" s="1" t="n">
        <f aca="false">SMALL(BASE!$G$2:$G$136,54)</f>
        <v>146.00023</v>
      </c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6.5" hidden="false" customHeight="true" outlineLevel="0" collapsed="false">
      <c r="B69" s="22" t="n">
        <f aca="false">IF($K69&gt;=9999999,"",55)</f>
        <v>55</v>
      </c>
      <c r="C69" s="22" t="str">
        <f aca="false" t="array" ref="C69:C69">IF($K69&gt;=9999999,"",INDEX(BASE!$A$2:$A$136,MATCH($K69,BASE!$G$2:$G$136,0)))</f>
        <v>Veículo</v>
      </c>
      <c r="D69" s="22" t="str">
        <f aca="false" t="array" ref="D69:D69">IF($K69&gt;=9999999,"",INDEX(BASE!$B$2:$B$136,MATCH($K69,BASE!$G$2:$G$136,0)))</f>
        <v>PPL4B01</v>
      </c>
      <c r="E69" s="23" t="str">
        <f aca="false" t="array" ref="E69:E69">IF($K69&gt;=9999999,"",IF(INDEX(BASE!$C$2:$C$136,MATCH($K69,BASE!$G$2:$G$136,0))=0,"",INDEX(BASE!$C$2:$C$136,MATCH($K69,BASE!$G$2:$G$136,0))))</f>
        <v/>
      </c>
      <c r="F69" s="22" t="str">
        <f aca="false" t="array" ref="F69:F69">IF($K69&gt;=9999999,"",INDEX(BASE!$D$2:$D$136,MATCH($K69,BASE!$G$2:$G$136,0)))</f>
        <v>TEM PERFIL</v>
      </c>
      <c r="G69" s="22" t="str">
        <f aca="false" t="array" ref="G69:G69">IF($K69&gt;=9999999,"",INDEX(BASE!$E$2:$E$136,MATCH($K69,BASE!$G$2:$G$136,0)))</f>
        <v>28/01/2027</v>
      </c>
      <c r="H69" s="22" t="n">
        <f aca="false" t="array" ref="H69:H69">IF($K69&gt;=9999999,"",INDEX(BASE!$F$2:$F$136,MATCH($K69,BASE!$G$2:$G$136,0)))</f>
        <v>146</v>
      </c>
      <c r="K69" s="1" t="n">
        <f aca="false">SMALL(BASE!$G$2:$G$136,55)</f>
        <v>146.00024</v>
      </c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6.5" hidden="false" customHeight="true" outlineLevel="0" collapsed="false">
      <c r="B70" s="22" t="n">
        <f aca="false">IF($K70&gt;=9999999,"",56)</f>
        <v>56</v>
      </c>
      <c r="C70" s="22" t="str">
        <f aca="false" t="array" ref="C70:C70">IF($K70&gt;=9999999,"",INDEX(BASE!$A$2:$A$136,MATCH($K70,BASE!$G$2:$G$136,0)))</f>
        <v>Condutor</v>
      </c>
      <c r="D70" s="22" t="str">
        <f aca="false" t="array" ref="D70:D70">IF($K70&gt;=9999999,"",INDEX(BASE!$B$2:$B$136,MATCH($K70,BASE!$G$2:$G$136,0)))</f>
        <v>095.588.327-07</v>
      </c>
      <c r="E70" s="23" t="str">
        <f aca="false" t="array" ref="E70:E70">IF($K70&gt;=9999999,"",IF(INDEX(BASE!$C$2:$C$136,MATCH($K70,BASE!$G$2:$G$136,0))=0,"",INDEX(BASE!$C$2:$C$136,MATCH($K70,BASE!$G$2:$G$136,0))))</f>
        <v>JOSÉ ROBERTO DA SILVA</v>
      </c>
      <c r="F70" s="22" t="str">
        <f aca="false" t="array" ref="F70:F70">IF($K70&gt;=9999999,"",INDEX(BASE!$D$2:$D$136,MATCH($K70,BASE!$G$2:$G$136,0)))</f>
        <v>TEM PERFIL</v>
      </c>
      <c r="G70" s="24" t="str">
        <f aca="false" t="array" ref="G70:G70">IF($K70&gt;=9999999,"",INDEX(BASE!$E$2:$E$136,MATCH($K70,BASE!$G$2:$G$136,0)))</f>
        <v>28/01/2027</v>
      </c>
      <c r="H70" s="22" t="n">
        <f aca="false" t="array" ref="H70:H70">IF($K70&gt;=9999999,"",INDEX(BASE!$F$2:$F$136,MATCH($K70,BASE!$G$2:$G$136,0)))</f>
        <v>146</v>
      </c>
      <c r="K70" s="1" t="n">
        <f aca="false">SMALL(BASE!$G$2:$G$136,56)</f>
        <v>146.0005</v>
      </c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6.5" hidden="false" customHeight="true" outlineLevel="0" collapsed="false">
      <c r="B71" s="22" t="n">
        <f aca="false">IF($K71&gt;=9999999,"",57)</f>
        <v>57</v>
      </c>
      <c r="C71" s="22" t="str">
        <f aca="false" t="array" ref="C71:C71">IF($K71&gt;=9999999,"",INDEX(BASE!$A$2:$A$136,MATCH($K71,BASE!$G$2:$G$136,0)))</f>
        <v>Condutor</v>
      </c>
      <c r="D71" s="22" t="str">
        <f aca="false" t="array" ref="D71:D71">IF($K71&gt;=9999999,"",INDEX(BASE!$B$2:$B$136,MATCH($K71,BASE!$G$2:$G$136,0)))</f>
        <v>112.801.137-90</v>
      </c>
      <c r="E71" s="23" t="str">
        <f aca="false" t="array" ref="E71:E71">IF($K71&gt;=9999999,"",IF(INDEX(BASE!$C$2:$C$136,MATCH($K71,BASE!$G$2:$G$136,0))=0,"",INDEX(BASE!$C$2:$C$136,MATCH($K71,BASE!$G$2:$G$136,0))))</f>
        <v>EVANERIO FONTES LUZ</v>
      </c>
      <c r="F71" s="22" t="str">
        <f aca="false" t="array" ref="F71:F71">IF($K71&gt;=9999999,"",INDEX(BASE!$D$2:$D$136,MATCH($K71,BASE!$G$2:$G$136,0)))</f>
        <v>TEM PERFIL</v>
      </c>
      <c r="G71" s="28" t="str">
        <f aca="false" t="array" ref="G71:G71">IF($K71&gt;=9999999,"",INDEX(BASE!$E$2:$E$136,MATCH($K71,BASE!$G$2:$G$136,0)))</f>
        <v>28/01/2027</v>
      </c>
      <c r="H71" s="22" t="n">
        <f aca="false" t="array" ref="H71:H71">IF($K71&gt;=9999999,"",INDEX(BASE!$F$2:$F$136,MATCH($K71,BASE!$G$2:$G$136,0)))</f>
        <v>146</v>
      </c>
      <c r="K71" s="1" t="n">
        <f aca="false">SMALL(BASE!$G$2:$G$136,57)</f>
        <v>146.00073</v>
      </c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6.5" hidden="false" customHeight="true" outlineLevel="0" collapsed="false">
      <c r="B72" s="22" t="n">
        <f aca="false">IF($K72&gt;=9999999,"",58)</f>
        <v>58</v>
      </c>
      <c r="C72" s="22" t="str">
        <f aca="false" t="array" ref="C72:C72">IF($K72&gt;=9999999,"",INDEX(BASE!$A$2:$A$136,MATCH($K72,BASE!$G$2:$G$136,0)))</f>
        <v>Condutor</v>
      </c>
      <c r="D72" s="22" t="str">
        <f aca="false" t="array" ref="D72:D72">IF($K72&gt;=9999999,"",INDEX(BASE!$B$2:$B$136,MATCH($K72,BASE!$G$2:$G$136,0)))</f>
        <v>051.837.027-56</v>
      </c>
      <c r="E72" s="23" t="str">
        <f aca="false" t="array" ref="E72:E72">IF($K72&gt;=9999999,"",IF(INDEX(BASE!$C$2:$C$136,MATCH($K72,BASE!$G$2:$G$136,0))=0,"",INDEX(BASE!$C$2:$C$136,MATCH($K72,BASE!$G$2:$G$136,0))))</f>
        <v>EVANILDO MANOEL DE FARIAS</v>
      </c>
      <c r="F72" s="22" t="str">
        <f aca="false" t="array" ref="F72:F72">IF($K72&gt;=9999999,"",INDEX(BASE!$D$2:$D$136,MATCH($K72,BASE!$G$2:$G$136,0)))</f>
        <v>TEM PERFIL</v>
      </c>
      <c r="G72" s="28" t="str">
        <f aca="false" t="array" ref="G72:G72">IF($K72&gt;=9999999,"",INDEX(BASE!$E$2:$E$136,MATCH($K72,BASE!$G$2:$G$136,0)))</f>
        <v>28/01/2027</v>
      </c>
      <c r="H72" s="22" t="n">
        <f aca="false" t="array" ref="H72:H72">IF($K72&gt;=9999999,"",INDEX(BASE!$F$2:$F$136,MATCH($K72,BASE!$G$2:$G$136,0)))</f>
        <v>146</v>
      </c>
      <c r="K72" s="1" t="n">
        <f aca="false">SMALL(BASE!$G$2:$G$136,58)</f>
        <v>146.00083</v>
      </c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6.5" hidden="false" customHeight="true" outlineLevel="0" collapsed="false">
      <c r="B73" s="22" t="n">
        <f aca="false">IF($K73&gt;=9999999,"",59)</f>
        <v>59</v>
      </c>
      <c r="C73" s="22" t="str">
        <f aca="false" t="array" ref="C73:C73">IF($K73&gt;=9999999,"",INDEX(BASE!$A$2:$A$136,MATCH($K73,BASE!$G$2:$G$136,0)))</f>
        <v>Condutor</v>
      </c>
      <c r="D73" s="22" t="str">
        <f aca="false" t="array" ref="D73:D73">IF($K73&gt;=9999999,"",INDEX(BASE!$B$2:$B$136,MATCH($K73,BASE!$G$2:$G$136,0)))</f>
        <v>103.606.097-75</v>
      </c>
      <c r="E73" s="23" t="str">
        <f aca="false" t="array" ref="E73:E73">IF($K73&gt;=9999999,"",IF(INDEX(BASE!$C$2:$C$136,MATCH($K73,BASE!$G$2:$G$136,0))=0,"",INDEX(BASE!$C$2:$C$136,MATCH($K73,BASE!$G$2:$G$136,0))))</f>
        <v>VITOR PAULO ZAMBALDI</v>
      </c>
      <c r="F73" s="22" t="str">
        <f aca="false" t="array" ref="F73:F73">IF($K73&gt;=9999999,"",INDEX(BASE!$D$2:$D$136,MATCH($K73,BASE!$G$2:$G$136,0)))</f>
        <v>TEM PERFIL</v>
      </c>
      <c r="G73" s="28" t="str">
        <f aca="false" t="array" ref="G73:G73">IF($K73&gt;=9999999,"",INDEX(BASE!$E$2:$E$136,MATCH($K73,BASE!$G$2:$G$136,0)))</f>
        <v>28/01/2027</v>
      </c>
      <c r="H73" s="22" t="n">
        <f aca="false" t="array" ref="H73:H73">IF($K73&gt;=9999999,"",INDEX(BASE!$F$2:$F$136,MATCH($K73,BASE!$G$2:$G$136,0)))</f>
        <v>146</v>
      </c>
      <c r="K73" s="1" t="n">
        <f aca="false">SMALL(BASE!$G$2:$G$136,59)</f>
        <v>146.00105</v>
      </c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6.5" hidden="false" customHeight="true" outlineLevel="0" collapsed="false">
      <c r="B74" s="22" t="n">
        <f aca="false">IF($K74&gt;=9999999,"",60)</f>
        <v>60</v>
      </c>
      <c r="C74" s="22" t="str">
        <f aca="false" t="array" ref="C74:C74">IF($K74&gt;=9999999,"",INDEX(BASE!$A$2:$A$136,MATCH($K74,BASE!$G$2:$G$136,0)))</f>
        <v>Condutor</v>
      </c>
      <c r="D74" s="22" t="str">
        <f aca="false" t="array" ref="D74:D74">IF($K74&gt;=9999999,"",INDEX(BASE!$B$2:$B$136,MATCH($K74,BASE!$G$2:$G$136,0)))</f>
        <v>107.090.087-75</v>
      </c>
      <c r="E74" s="23" t="str">
        <f aca="false" t="array" ref="E74:E74">IF($K74&gt;=9999999,"",IF(INDEX(BASE!$C$2:$C$136,MATCH($K74,BASE!$G$2:$G$136,0))=0,"",INDEX(BASE!$C$2:$C$136,MATCH($K74,BASE!$G$2:$G$136,0))))</f>
        <v>FABIO SALES DE OLIVEIRA</v>
      </c>
      <c r="F74" s="22" t="str">
        <f aca="false" t="array" ref="F74:F74">IF($K74&gt;=9999999,"",INDEX(BASE!$D$2:$D$136,MATCH($K74,BASE!$G$2:$G$136,0)))</f>
        <v>TEM PERFIL</v>
      </c>
      <c r="G74" s="24" t="str">
        <f aca="false" t="array" ref="G74:G74">IF($K74&gt;=9999999,"",INDEX(BASE!$E$2:$E$136,MATCH($K74,BASE!$G$2:$G$136,0)))</f>
        <v>28/01/2027</v>
      </c>
      <c r="H74" s="22" t="n">
        <f aca="false" t="array" ref="H74:H74">IF($K74&gt;=9999999,"",INDEX(BASE!$F$2:$F$136,MATCH($K74,BASE!$G$2:$G$136,0)))</f>
        <v>146</v>
      </c>
      <c r="K74" s="1" t="n">
        <f aca="false">SMALL(BASE!$G$2:$G$136,60)</f>
        <v>146.00106</v>
      </c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B75" s="21"/>
      <c r="C75" s="21"/>
      <c r="D75" s="21"/>
      <c r="E75" s="21"/>
      <c r="F75" s="21"/>
      <c r="G75" s="21"/>
      <c r="H75" s="2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B76" s="21"/>
      <c r="C76" s="21"/>
      <c r="D76" s="21"/>
      <c r="E76" s="21"/>
      <c r="F76" s="21"/>
      <c r="G76" s="21"/>
      <c r="H76" s="2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B77" s="21"/>
      <c r="C77" s="21"/>
      <c r="D77" s="21"/>
      <c r="E77" s="21"/>
      <c r="F77" s="21"/>
      <c r="G77" s="21"/>
      <c r="H77" s="2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B78" s="21"/>
      <c r="C78" s="21"/>
      <c r="D78" s="21"/>
      <c r="E78" s="21"/>
      <c r="F78" s="21"/>
      <c r="G78" s="21"/>
      <c r="H78" s="2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B79" s="21"/>
      <c r="C79" s="21"/>
      <c r="D79" s="21"/>
      <c r="E79" s="21"/>
      <c r="F79" s="21"/>
      <c r="G79" s="21"/>
      <c r="H79" s="2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B80" s="21"/>
      <c r="C80" s="21"/>
      <c r="D80" s="21"/>
      <c r="E80" s="21"/>
      <c r="F80" s="21"/>
      <c r="G80" s="21"/>
      <c r="H80" s="2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B81" s="21"/>
      <c r="C81" s="21"/>
      <c r="D81" s="21"/>
      <c r="E81" s="21"/>
      <c r="F81" s="21"/>
      <c r="G81" s="21"/>
      <c r="H81" s="2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B82" s="21"/>
      <c r="C82" s="21"/>
      <c r="D82" s="21"/>
      <c r="E82" s="21"/>
      <c r="F82" s="21"/>
      <c r="G82" s="21"/>
      <c r="H82" s="2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B83" s="21"/>
      <c r="C83" s="21"/>
      <c r="D83" s="21"/>
      <c r="E83" s="21"/>
      <c r="F83" s="21"/>
      <c r="G83" s="21"/>
      <c r="H83" s="2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B84" s="21"/>
      <c r="C84" s="21"/>
      <c r="D84" s="21"/>
      <c r="E84" s="21"/>
      <c r="F84" s="21"/>
      <c r="G84" s="21"/>
      <c r="H84" s="2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B85" s="21"/>
      <c r="C85" s="21"/>
      <c r="D85" s="21"/>
      <c r="E85" s="21"/>
      <c r="F85" s="21"/>
      <c r="G85" s="21"/>
      <c r="H85" s="2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B86" s="21"/>
      <c r="C86" s="21"/>
      <c r="D86" s="21"/>
      <c r="E86" s="21"/>
      <c r="F86" s="21"/>
      <c r="G86" s="21"/>
      <c r="H86" s="2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B87" s="21"/>
      <c r="C87" s="21"/>
      <c r="D87" s="21"/>
      <c r="E87" s="21"/>
      <c r="F87" s="21"/>
      <c r="G87" s="21"/>
      <c r="H87" s="2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B88" s="21"/>
      <c r="C88" s="21"/>
      <c r="D88" s="21"/>
      <c r="E88" s="21"/>
      <c r="F88" s="21"/>
      <c r="G88" s="21"/>
      <c r="H88" s="2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B89" s="21"/>
      <c r="C89" s="21"/>
      <c r="D89" s="21"/>
      <c r="E89" s="21"/>
      <c r="F89" s="21"/>
      <c r="G89" s="21"/>
      <c r="H89" s="2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B90" s="21"/>
      <c r="C90" s="21"/>
      <c r="D90" s="21"/>
      <c r="E90" s="21"/>
      <c r="F90" s="21"/>
      <c r="G90" s="21"/>
      <c r="H90" s="2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B91" s="21"/>
      <c r="C91" s="21"/>
      <c r="D91" s="21"/>
      <c r="E91" s="21"/>
      <c r="F91" s="21"/>
      <c r="G91" s="21"/>
      <c r="H91" s="2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B92" s="21"/>
      <c r="C92" s="21"/>
      <c r="D92" s="21"/>
      <c r="E92" s="21"/>
      <c r="F92" s="21"/>
      <c r="G92" s="21"/>
      <c r="H92" s="2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B93" s="21"/>
      <c r="C93" s="21"/>
      <c r="D93" s="21"/>
      <c r="E93" s="21"/>
      <c r="F93" s="21"/>
      <c r="G93" s="21"/>
      <c r="H93" s="2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B94" s="21"/>
      <c r="C94" s="21"/>
      <c r="D94" s="21"/>
      <c r="E94" s="21"/>
      <c r="F94" s="21"/>
      <c r="G94" s="21"/>
      <c r="H94" s="2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B95" s="21"/>
      <c r="C95" s="21"/>
      <c r="D95" s="21"/>
      <c r="E95" s="21"/>
      <c r="F95" s="21"/>
      <c r="G95" s="21"/>
      <c r="H95" s="2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B96" s="21"/>
      <c r="C96" s="21"/>
      <c r="D96" s="21"/>
      <c r="E96" s="21"/>
      <c r="F96" s="21"/>
      <c r="G96" s="21"/>
      <c r="H96" s="2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B97" s="21"/>
      <c r="C97" s="21"/>
      <c r="D97" s="21"/>
      <c r="E97" s="21"/>
      <c r="F97" s="21"/>
      <c r="G97" s="21"/>
      <c r="H97" s="2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B98" s="21"/>
      <c r="C98" s="21"/>
      <c r="D98" s="21"/>
      <c r="E98" s="21"/>
      <c r="F98" s="21"/>
      <c r="G98" s="21"/>
      <c r="H98" s="2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B99" s="21"/>
      <c r="C99" s="21"/>
      <c r="D99" s="21"/>
      <c r="E99" s="21"/>
      <c r="F99" s="21"/>
      <c r="G99" s="21"/>
      <c r="H99" s="2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B100" s="21"/>
      <c r="C100" s="21"/>
      <c r="D100" s="21"/>
      <c r="E100" s="21"/>
      <c r="F100" s="21"/>
      <c r="G100" s="21"/>
      <c r="H100" s="2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B101" s="21"/>
      <c r="C101" s="21"/>
      <c r="D101" s="21"/>
      <c r="E101" s="21"/>
      <c r="F101" s="21"/>
      <c r="G101" s="21"/>
      <c r="H101" s="2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B102" s="21"/>
      <c r="C102" s="21"/>
      <c r="D102" s="21"/>
      <c r="E102" s="21"/>
      <c r="F102" s="21"/>
      <c r="G102" s="21"/>
      <c r="H102" s="2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B103" s="21"/>
      <c r="C103" s="21"/>
      <c r="D103" s="21"/>
      <c r="E103" s="21"/>
      <c r="F103" s="21"/>
      <c r="G103" s="21"/>
      <c r="H103" s="2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B104" s="21"/>
      <c r="C104" s="21"/>
      <c r="D104" s="21"/>
      <c r="E104" s="21"/>
      <c r="F104" s="21"/>
      <c r="G104" s="21"/>
      <c r="H104" s="2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B105" s="21"/>
      <c r="C105" s="21"/>
      <c r="D105" s="21"/>
      <c r="E105" s="21"/>
      <c r="F105" s="21"/>
      <c r="G105" s="21"/>
      <c r="H105" s="2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B106" s="21"/>
      <c r="C106" s="21"/>
      <c r="D106" s="21"/>
      <c r="E106" s="21"/>
      <c r="F106" s="21"/>
      <c r="G106" s="21"/>
      <c r="H106" s="2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B107" s="21"/>
      <c r="C107" s="21"/>
      <c r="D107" s="21"/>
      <c r="E107" s="21"/>
      <c r="F107" s="21"/>
      <c r="G107" s="21"/>
      <c r="H107" s="2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B108" s="21"/>
      <c r="C108" s="21"/>
      <c r="D108" s="21"/>
      <c r="E108" s="21"/>
      <c r="F108" s="21"/>
      <c r="G108" s="21"/>
      <c r="H108" s="2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B109" s="21"/>
      <c r="C109" s="21"/>
      <c r="D109" s="21"/>
      <c r="E109" s="21"/>
      <c r="F109" s="21"/>
      <c r="G109" s="21"/>
      <c r="H109" s="2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B110" s="21"/>
      <c r="C110" s="21"/>
      <c r="D110" s="21"/>
      <c r="E110" s="21"/>
      <c r="F110" s="21"/>
      <c r="G110" s="21"/>
      <c r="H110" s="2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B111" s="21"/>
      <c r="C111" s="21"/>
      <c r="D111" s="21"/>
      <c r="E111" s="21"/>
      <c r="F111" s="21"/>
      <c r="G111" s="21"/>
      <c r="H111" s="2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B112" s="21"/>
      <c r="C112" s="21"/>
      <c r="D112" s="21"/>
      <c r="E112" s="21"/>
      <c r="F112" s="21"/>
      <c r="G112" s="21"/>
      <c r="H112" s="2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B113" s="21"/>
      <c r="C113" s="21"/>
      <c r="D113" s="21"/>
      <c r="E113" s="21"/>
      <c r="F113" s="21"/>
      <c r="G113" s="21"/>
      <c r="H113" s="2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B114" s="21"/>
      <c r="C114" s="21"/>
      <c r="D114" s="21"/>
      <c r="E114" s="21"/>
      <c r="F114" s="21"/>
      <c r="G114" s="21"/>
      <c r="H114" s="2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B115" s="21"/>
      <c r="C115" s="21"/>
      <c r="D115" s="21"/>
      <c r="E115" s="21"/>
      <c r="F115" s="21"/>
      <c r="G115" s="21"/>
      <c r="H115" s="2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B116" s="21"/>
      <c r="C116" s="21"/>
      <c r="D116" s="21"/>
      <c r="E116" s="21"/>
      <c r="F116" s="21"/>
      <c r="G116" s="21"/>
      <c r="H116" s="2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B117" s="21"/>
      <c r="C117" s="21"/>
      <c r="D117" s="21"/>
      <c r="E117" s="21"/>
      <c r="F117" s="21"/>
      <c r="G117" s="21"/>
      <c r="H117" s="2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B118" s="21"/>
      <c r="C118" s="21"/>
      <c r="D118" s="21"/>
      <c r="E118" s="21"/>
      <c r="F118" s="21"/>
      <c r="G118" s="21"/>
      <c r="H118" s="2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B119" s="21"/>
      <c r="C119" s="21"/>
      <c r="D119" s="21"/>
      <c r="E119" s="21"/>
      <c r="F119" s="21"/>
      <c r="G119" s="21"/>
      <c r="H119" s="2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B120" s="21"/>
      <c r="C120" s="21"/>
      <c r="D120" s="21"/>
      <c r="E120" s="21"/>
      <c r="F120" s="21"/>
      <c r="G120" s="21"/>
      <c r="H120" s="2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B121" s="21"/>
      <c r="C121" s="21"/>
      <c r="D121" s="21"/>
      <c r="E121" s="21"/>
      <c r="F121" s="21"/>
      <c r="G121" s="21"/>
      <c r="H121" s="2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B122" s="21"/>
      <c r="C122" s="21"/>
      <c r="D122" s="21"/>
      <c r="E122" s="21"/>
      <c r="F122" s="21"/>
      <c r="G122" s="21"/>
      <c r="H122" s="2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B123" s="21"/>
      <c r="C123" s="21"/>
      <c r="D123" s="21"/>
      <c r="E123" s="21"/>
      <c r="F123" s="21"/>
      <c r="G123" s="21"/>
      <c r="H123" s="2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B124" s="21"/>
      <c r="C124" s="21"/>
      <c r="D124" s="21"/>
      <c r="E124" s="21"/>
      <c r="F124" s="21"/>
      <c r="G124" s="21"/>
      <c r="H124" s="2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B125" s="21"/>
      <c r="C125" s="21"/>
      <c r="D125" s="21"/>
      <c r="E125" s="21"/>
      <c r="F125" s="21"/>
      <c r="G125" s="21"/>
      <c r="H125" s="2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B126" s="21"/>
      <c r="C126" s="21"/>
      <c r="D126" s="21"/>
      <c r="E126" s="21"/>
      <c r="F126" s="21"/>
      <c r="G126" s="21"/>
      <c r="H126" s="2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B127" s="21"/>
      <c r="C127" s="21"/>
      <c r="D127" s="21"/>
      <c r="E127" s="21"/>
      <c r="F127" s="21"/>
      <c r="G127" s="21"/>
      <c r="H127" s="2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B128" s="21"/>
      <c r="C128" s="21"/>
      <c r="D128" s="21"/>
      <c r="E128" s="21"/>
      <c r="F128" s="21"/>
      <c r="G128" s="21"/>
      <c r="H128" s="2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B129" s="21"/>
      <c r="C129" s="21"/>
      <c r="D129" s="21"/>
      <c r="E129" s="21"/>
      <c r="F129" s="21"/>
      <c r="G129" s="21"/>
      <c r="H129" s="2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B130" s="21"/>
      <c r="C130" s="21"/>
      <c r="D130" s="21"/>
      <c r="E130" s="21"/>
      <c r="F130" s="21"/>
      <c r="G130" s="21"/>
      <c r="H130" s="2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B131" s="21"/>
      <c r="C131" s="21"/>
      <c r="D131" s="21"/>
      <c r="E131" s="21"/>
      <c r="F131" s="21"/>
      <c r="G131" s="21"/>
      <c r="H131" s="2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B132" s="21"/>
      <c r="C132" s="21"/>
      <c r="D132" s="21"/>
      <c r="E132" s="21"/>
      <c r="F132" s="21"/>
      <c r="G132" s="21"/>
      <c r="H132" s="2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B133" s="21"/>
      <c r="C133" s="21"/>
      <c r="D133" s="21"/>
      <c r="E133" s="21"/>
      <c r="F133" s="21"/>
      <c r="G133" s="21"/>
      <c r="H133" s="2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B134" s="21"/>
      <c r="C134" s="21"/>
      <c r="D134" s="21"/>
      <c r="E134" s="21"/>
      <c r="F134" s="21"/>
      <c r="G134" s="21"/>
      <c r="H134" s="2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B135" s="21"/>
      <c r="C135" s="21"/>
      <c r="D135" s="21"/>
      <c r="E135" s="21"/>
      <c r="F135" s="21"/>
      <c r="G135" s="21"/>
      <c r="H135" s="2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B136" s="21"/>
      <c r="C136" s="21"/>
      <c r="D136" s="21"/>
      <c r="E136" s="21"/>
      <c r="F136" s="21"/>
      <c r="G136" s="21"/>
      <c r="H136" s="2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B137" s="21"/>
      <c r="C137" s="21"/>
      <c r="D137" s="21"/>
      <c r="E137" s="21"/>
      <c r="F137" s="21"/>
      <c r="G137" s="21"/>
      <c r="H137" s="2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B138" s="21"/>
      <c r="C138" s="21"/>
      <c r="D138" s="21"/>
      <c r="E138" s="21"/>
      <c r="F138" s="21"/>
      <c r="G138" s="21"/>
      <c r="H138" s="2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B139" s="21"/>
      <c r="C139" s="21"/>
      <c r="D139" s="21"/>
      <c r="E139" s="21"/>
      <c r="F139" s="21"/>
      <c r="G139" s="21"/>
      <c r="H139" s="2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B140" s="21"/>
      <c r="C140" s="21"/>
      <c r="D140" s="21"/>
      <c r="E140" s="21"/>
      <c r="F140" s="21"/>
      <c r="G140" s="21"/>
      <c r="H140" s="2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B141" s="21"/>
      <c r="C141" s="21"/>
      <c r="D141" s="21"/>
      <c r="E141" s="21"/>
      <c r="F141" s="21"/>
      <c r="G141" s="21"/>
      <c r="H141" s="2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B142" s="21"/>
      <c r="C142" s="21"/>
      <c r="D142" s="21"/>
      <c r="E142" s="21"/>
      <c r="F142" s="21"/>
      <c r="G142" s="21"/>
      <c r="H142" s="2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B143" s="21"/>
      <c r="C143" s="21"/>
      <c r="D143" s="21"/>
      <c r="E143" s="21"/>
      <c r="F143" s="21"/>
      <c r="G143" s="21"/>
      <c r="H143" s="2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B144" s="21"/>
      <c r="C144" s="21"/>
      <c r="D144" s="21"/>
      <c r="E144" s="21"/>
      <c r="F144" s="21"/>
      <c r="G144" s="21"/>
      <c r="H144" s="2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B145" s="21"/>
      <c r="C145" s="21"/>
      <c r="D145" s="21"/>
      <c r="E145" s="21"/>
      <c r="F145" s="21"/>
      <c r="G145" s="21"/>
      <c r="H145" s="2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B146" s="21"/>
      <c r="C146" s="21"/>
      <c r="D146" s="21"/>
      <c r="E146" s="21"/>
      <c r="F146" s="21"/>
      <c r="G146" s="21"/>
      <c r="H146" s="2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B147" s="21"/>
      <c r="C147" s="21"/>
      <c r="D147" s="21"/>
      <c r="E147" s="21"/>
      <c r="F147" s="21"/>
      <c r="G147" s="21"/>
      <c r="H147" s="2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B148" s="21"/>
      <c r="C148" s="21"/>
      <c r="D148" s="21"/>
      <c r="E148" s="21"/>
      <c r="F148" s="21"/>
      <c r="G148" s="21"/>
      <c r="H148" s="2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B149" s="21"/>
      <c r="C149" s="21"/>
      <c r="D149" s="21"/>
      <c r="E149" s="21"/>
      <c r="F149" s="21"/>
      <c r="G149" s="21"/>
      <c r="H149" s="2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B150" s="21"/>
      <c r="C150" s="21"/>
      <c r="D150" s="21"/>
      <c r="E150" s="21"/>
      <c r="F150" s="21"/>
      <c r="G150" s="21"/>
      <c r="H150" s="2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B151" s="21"/>
      <c r="C151" s="21"/>
      <c r="D151" s="21"/>
      <c r="E151" s="21"/>
      <c r="F151" s="21"/>
      <c r="G151" s="21"/>
      <c r="H151" s="2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B152" s="21"/>
      <c r="C152" s="21"/>
      <c r="D152" s="21"/>
      <c r="E152" s="21"/>
      <c r="F152" s="21"/>
      <c r="G152" s="21"/>
      <c r="H152" s="2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B153" s="21"/>
      <c r="C153" s="21"/>
      <c r="D153" s="21"/>
      <c r="E153" s="21"/>
      <c r="F153" s="21"/>
      <c r="G153" s="21"/>
      <c r="H153" s="2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B154" s="21"/>
      <c r="C154" s="21"/>
      <c r="D154" s="21"/>
      <c r="E154" s="21"/>
      <c r="F154" s="21"/>
      <c r="G154" s="21"/>
      <c r="H154" s="2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B155" s="21"/>
      <c r="C155" s="21"/>
      <c r="D155" s="21"/>
      <c r="E155" s="21"/>
      <c r="F155" s="21"/>
      <c r="G155" s="21"/>
      <c r="H155" s="2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B156" s="21"/>
      <c r="C156" s="21"/>
      <c r="D156" s="21"/>
      <c r="E156" s="21"/>
      <c r="F156" s="21"/>
      <c r="G156" s="21"/>
      <c r="H156" s="2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B157" s="21"/>
      <c r="C157" s="21"/>
      <c r="D157" s="21"/>
      <c r="E157" s="21"/>
      <c r="F157" s="21"/>
      <c r="G157" s="21"/>
      <c r="H157" s="2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L236" s="1"/>
      <c r="M236" s="1"/>
      <c r="N236" s="1"/>
      <c r="O236" s="1"/>
      <c r="P236" s="1"/>
      <c r="Q236" s="1"/>
      <c r="R236" s="1"/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L237" s="1"/>
      <c r="M237" s="1"/>
      <c r="N237" s="1"/>
      <c r="O237" s="1"/>
      <c r="P237" s="1"/>
      <c r="Q237" s="1"/>
      <c r="R237" s="1"/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L238" s="1"/>
      <c r="M238" s="1"/>
      <c r="N238" s="1"/>
      <c r="O238" s="1"/>
      <c r="P238" s="1"/>
      <c r="Q238" s="1"/>
      <c r="R238" s="1"/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L239" s="1"/>
      <c r="M239" s="1"/>
      <c r="N239" s="1"/>
      <c r="O239" s="1"/>
      <c r="P239" s="1"/>
      <c r="Q239" s="1"/>
      <c r="R239" s="1"/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L240" s="1"/>
      <c r="M240" s="1"/>
      <c r="N240" s="1"/>
      <c r="O240" s="1"/>
      <c r="P240" s="1"/>
      <c r="Q240" s="1"/>
      <c r="R240" s="1"/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L241" s="1"/>
      <c r="M241" s="1"/>
      <c r="N241" s="1"/>
      <c r="O241" s="1"/>
      <c r="P241" s="1"/>
      <c r="Q241" s="1"/>
      <c r="R241" s="1"/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L242" s="1"/>
      <c r="M242" s="1"/>
      <c r="N242" s="1"/>
      <c r="O242" s="1"/>
      <c r="P242" s="1"/>
      <c r="Q242" s="1"/>
      <c r="R242" s="1"/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L243" s="1"/>
      <c r="M243" s="1"/>
      <c r="N243" s="1"/>
      <c r="O243" s="1"/>
      <c r="P243" s="1"/>
      <c r="Q243" s="1"/>
      <c r="R243" s="1"/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L244" s="1"/>
      <c r="M244" s="1"/>
      <c r="N244" s="1"/>
      <c r="O244" s="1"/>
      <c r="P244" s="1"/>
      <c r="Q244" s="1"/>
      <c r="R244" s="1"/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L245" s="1"/>
      <c r="M245" s="1"/>
      <c r="N245" s="1"/>
      <c r="O245" s="1"/>
      <c r="P245" s="1"/>
      <c r="Q245" s="1"/>
      <c r="R245" s="1"/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L246" s="1"/>
      <c r="M246" s="1"/>
      <c r="N246" s="1"/>
      <c r="O246" s="1"/>
      <c r="P246" s="1"/>
      <c r="Q246" s="1"/>
      <c r="R246" s="1"/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L247" s="1"/>
      <c r="M247" s="1"/>
      <c r="N247" s="1"/>
      <c r="O247" s="1"/>
      <c r="P247" s="1"/>
      <c r="Q247" s="1"/>
      <c r="R247" s="1"/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L248" s="1"/>
      <c r="M248" s="1"/>
      <c r="N248" s="1"/>
      <c r="O248" s="1"/>
      <c r="P248" s="1"/>
      <c r="Q248" s="1"/>
      <c r="R248" s="1"/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L249" s="1"/>
      <c r="M249" s="1"/>
      <c r="N249" s="1"/>
      <c r="O249" s="1"/>
      <c r="P249" s="1"/>
      <c r="Q249" s="1"/>
      <c r="R249" s="1"/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L250" s="1"/>
      <c r="M250" s="1"/>
      <c r="N250" s="1"/>
      <c r="O250" s="1"/>
      <c r="P250" s="1"/>
      <c r="Q250" s="1"/>
      <c r="R250" s="1"/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L251" s="1"/>
      <c r="M251" s="1"/>
      <c r="N251" s="1"/>
      <c r="O251" s="1"/>
      <c r="P251" s="1"/>
      <c r="Q251" s="1"/>
      <c r="R251" s="1"/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L252" s="1"/>
      <c r="M252" s="1"/>
      <c r="N252" s="1"/>
      <c r="O252" s="1"/>
      <c r="P252" s="1"/>
      <c r="Q252" s="1"/>
      <c r="R252" s="1"/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L253" s="1"/>
      <c r="M253" s="1"/>
      <c r="N253" s="1"/>
      <c r="O253" s="1"/>
      <c r="P253" s="1"/>
      <c r="Q253" s="1"/>
      <c r="R253" s="1"/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L254" s="1"/>
      <c r="M254" s="1"/>
      <c r="N254" s="1"/>
      <c r="O254" s="1"/>
      <c r="P254" s="1"/>
      <c r="Q254" s="1"/>
      <c r="R254" s="1"/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L255" s="1"/>
      <c r="M255" s="1"/>
      <c r="N255" s="1"/>
      <c r="O255" s="1"/>
      <c r="P255" s="1"/>
      <c r="Q255" s="1"/>
      <c r="R255" s="1"/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L256" s="1"/>
      <c r="M256" s="1"/>
      <c r="N256" s="1"/>
      <c r="O256" s="1"/>
      <c r="P256" s="1"/>
      <c r="Q256" s="1"/>
      <c r="R256" s="1"/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L257" s="1"/>
      <c r="M257" s="1"/>
      <c r="N257" s="1"/>
      <c r="O257" s="1"/>
      <c r="P257" s="1"/>
      <c r="Q257" s="1"/>
      <c r="R257" s="1"/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L258" s="1"/>
      <c r="M258" s="1"/>
      <c r="N258" s="1"/>
      <c r="O258" s="1"/>
      <c r="P258" s="1"/>
      <c r="Q258" s="1"/>
      <c r="R258" s="1"/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L259" s="1"/>
      <c r="M259" s="1"/>
      <c r="N259" s="1"/>
      <c r="O259" s="1"/>
      <c r="P259" s="1"/>
      <c r="Q259" s="1"/>
      <c r="R259" s="1"/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L260" s="1"/>
      <c r="M260" s="1"/>
      <c r="N260" s="1"/>
      <c r="O260" s="1"/>
      <c r="P260" s="1"/>
      <c r="Q260" s="1"/>
      <c r="R260" s="1"/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L261" s="1"/>
      <c r="M261" s="1"/>
      <c r="N261" s="1"/>
      <c r="O261" s="1"/>
      <c r="P261" s="1"/>
      <c r="Q261" s="1"/>
      <c r="R261" s="1"/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L262" s="1"/>
      <c r="M262" s="1"/>
      <c r="N262" s="1"/>
      <c r="O262" s="1"/>
      <c r="P262" s="1"/>
      <c r="Q262" s="1"/>
      <c r="R262" s="1"/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L263" s="1"/>
      <c r="M263" s="1"/>
      <c r="N263" s="1"/>
      <c r="O263" s="1"/>
      <c r="P263" s="1"/>
      <c r="Q263" s="1"/>
      <c r="R263" s="1"/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L264" s="1"/>
      <c r="M264" s="1"/>
      <c r="N264" s="1"/>
      <c r="O264" s="1"/>
      <c r="P264" s="1"/>
      <c r="Q264" s="1"/>
      <c r="R264" s="1"/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L265" s="1"/>
      <c r="M265" s="1"/>
      <c r="N265" s="1"/>
      <c r="O265" s="1"/>
      <c r="P265" s="1"/>
      <c r="Q265" s="1"/>
      <c r="R265" s="1"/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L266" s="1"/>
      <c r="M266" s="1"/>
      <c r="N266" s="1"/>
      <c r="O266" s="1"/>
      <c r="P266" s="1"/>
      <c r="Q266" s="1"/>
      <c r="R266" s="1"/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L267" s="1"/>
      <c r="M267" s="1"/>
      <c r="N267" s="1"/>
      <c r="O267" s="1"/>
      <c r="P267" s="1"/>
      <c r="Q267" s="1"/>
      <c r="R267" s="1"/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L268" s="1"/>
      <c r="M268" s="1"/>
      <c r="N268" s="1"/>
      <c r="O268" s="1"/>
      <c r="P268" s="1"/>
      <c r="Q268" s="1"/>
      <c r="R268" s="1"/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L269" s="1"/>
      <c r="M269" s="1"/>
      <c r="N269" s="1"/>
      <c r="O269" s="1"/>
      <c r="P269" s="1"/>
      <c r="Q269" s="1"/>
      <c r="R269" s="1"/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L270" s="1"/>
      <c r="M270" s="1"/>
      <c r="N270" s="1"/>
      <c r="O270" s="1"/>
      <c r="P270" s="1"/>
      <c r="Q270" s="1"/>
      <c r="R270" s="1"/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L271" s="1"/>
      <c r="M271" s="1"/>
      <c r="N271" s="1"/>
      <c r="O271" s="1"/>
      <c r="P271" s="1"/>
      <c r="Q271" s="1"/>
      <c r="R271" s="1"/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L272" s="1"/>
      <c r="M272" s="1"/>
      <c r="N272" s="1"/>
      <c r="O272" s="1"/>
      <c r="P272" s="1"/>
      <c r="Q272" s="1"/>
      <c r="R272" s="1"/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L273" s="1"/>
      <c r="M273" s="1"/>
      <c r="N273" s="1"/>
      <c r="O273" s="1"/>
      <c r="P273" s="1"/>
      <c r="Q273" s="1"/>
      <c r="R273" s="1"/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L274" s="1"/>
      <c r="M274" s="1"/>
      <c r="N274" s="1"/>
      <c r="O274" s="1"/>
      <c r="P274" s="1"/>
      <c r="Q274" s="1"/>
      <c r="R274" s="1"/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mergeCells count="20">
    <mergeCell ref="B4:D4"/>
    <mergeCell ref="E4:G4"/>
    <mergeCell ref="H4:J4"/>
    <mergeCell ref="B5:D5"/>
    <mergeCell ref="E5:G5"/>
    <mergeCell ref="H5:J5"/>
    <mergeCell ref="B6:D6"/>
    <mergeCell ref="E6:G6"/>
    <mergeCell ref="H6:J6"/>
    <mergeCell ref="B7:D7"/>
    <mergeCell ref="E7:G7"/>
    <mergeCell ref="H7:J7"/>
    <mergeCell ref="B8:D8"/>
    <mergeCell ref="E8:G8"/>
    <mergeCell ref="H8:J8"/>
    <mergeCell ref="B9:D9"/>
    <mergeCell ref="E9:G9"/>
    <mergeCell ref="H9:J9"/>
    <mergeCell ref="B11:J11"/>
    <mergeCell ref="B13:H13"/>
  </mergeCells>
  <conditionalFormatting sqref="H14:H45">
    <cfRule type="cellIs" priority="2" operator="lessThan" aboveAverage="0" equalAverage="0" bottom="0" percent="0" rank="0" text="" dxfId="0">
      <formula>0</formula>
    </cfRule>
    <cfRule type="cellIs" priority="3" operator="between" aboveAverage="0" equalAverage="0" bottom="0" percent="0" rank="0" text="" dxfId="1">
      <formula>0</formula>
      <formula>30</formula>
    </cfRule>
    <cfRule type="cellIs" priority="4" operator="between" aboveAverage="0" equalAverage="0" bottom="0" percent="0" rank="0" text="" dxfId="2">
      <formula>31</formula>
      <formula>60</formula>
    </cfRule>
    <cfRule type="cellIs" priority="5" operator="greaterThan" aboveAverage="0" equalAverage="0" bottom="0" percent="0" rank="0" text="" dxfId="3">
      <formula>60</formula>
    </cfRule>
  </conditionalFormatting>
  <conditionalFormatting sqref="H15:H54">
    <cfRule type="cellIs" priority="6" operator="lessThan" aboveAverage="0" equalAverage="0" bottom="0" percent="0" rank="0" text="" dxfId="4">
      <formula>0</formula>
    </cfRule>
    <cfRule type="cellIs" priority="7" operator="between" aboveAverage="0" equalAverage="0" bottom="0" percent="0" rank="0" text="" dxfId="5">
      <formula>0</formula>
      <formula>30</formula>
    </cfRule>
    <cfRule type="cellIs" priority="8" operator="between" aboveAverage="0" equalAverage="0" bottom="0" percent="0" rank="0" text="" dxfId="6">
      <formula>31</formula>
      <formula>60</formula>
    </cfRule>
    <cfRule type="cellIs" priority="9" operator="between" aboveAverage="0" equalAverage="0" bottom="0" percent="0" rank="0" text="" dxfId="7">
      <formula>0</formula>
      <formula>30</formula>
    </cfRule>
    <cfRule type="cellIs" priority="10" operator="between" aboveAverage="0" equalAverage="0" bottom="0" percent="0" rank="0" text="" dxfId="8">
      <formula>31</formula>
      <formula>60</formula>
    </cfRule>
  </conditionalFormatting>
  <conditionalFormatting sqref="H15:H74">
    <cfRule type="cellIs" priority="11" operator="lessThan" aboveAverage="0" equalAverage="0" bottom="0" percent="0" rank="0" text="" dxfId="9">
      <formula>0</formula>
    </cfRule>
    <cfRule type="cellIs" priority="12" operator="greaterThan" aboveAverage="0" equalAverage="0" bottom="0" percent="0" rank="0" text="" dxfId="10">
      <formula>60</formula>
    </cfRule>
    <cfRule type="cellIs" priority="13" operator="between" aboveAverage="0" equalAverage="0" bottom="0" percent="0" rank="0" text="" dxfId="7">
      <formula>0</formula>
      <formula>30</formula>
    </cfRule>
    <cfRule type="cellIs" priority="14" operator="between" aboveAverage="0" equalAverage="0" bottom="0" percent="0" rank="0" text="" dxfId="8">
      <formula>31</formula>
      <formula>60</formula>
    </cfRule>
  </conditionalFormatting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B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5" topLeftCell="C6" activePane="bottomRight" state="frozen"/>
      <selection pane="topLeft" activeCell="A1" activeCellId="0" sqref="A1"/>
      <selection pane="topRight" activeCell="C1" activeCellId="0" sqref="C1"/>
      <selection pane="bottomLeft" activeCell="A6" activeCellId="0" sqref="A6"/>
      <selection pane="bottomRight" activeCell="B6" activeCellId="0" sqref="B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1.43"/>
    <col collapsed="false" customWidth="true" hidden="false" outlineLevel="0" max="2" min="2" style="1" width="71.86"/>
    <col collapsed="false" customWidth="true" hidden="false" outlineLevel="0" max="3" min="3" style="1" width="9.14"/>
    <col collapsed="false" customWidth="true" hidden="false" outlineLevel="0" max="4" min="4" style="1" width="17.29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28.29"/>
  </cols>
  <sheetData>
    <row r="1" customFormat="false" ht="27.75" hidden="false" customHeight="true" outlineLevel="0" collapsed="false">
      <c r="B1" s="29" t="s">
        <v>0</v>
      </c>
      <c r="C1" s="30"/>
      <c r="D1" s="30"/>
      <c r="E1" s="30"/>
      <c r="F1" s="30"/>
      <c r="G1" s="3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B2" s="31" t="s">
        <v>14</v>
      </c>
      <c r="C2" s="30"/>
      <c r="D2" s="30"/>
      <c r="E2" s="30"/>
      <c r="F2" s="30"/>
      <c r="G2" s="3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true" outlineLevel="0" collapsed="false">
      <c r="B3" s="32" t="s">
        <v>15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B4" s="33" t="str">
        <f aca="false">"📋 "&amp;COUNTA(C6:C35)&amp;" registros   |   ✅ "&amp;COUNTIF(D6:D35,"TEM PERFIL")&amp;"   |   🕓 "&amp;COUNTIF(D6:D35,"AGUARDANDO RETORNO")&amp;"   |   ❌ "&amp;COUNTIF(D6:D35,"NÃO TEM PERFIL")</f>
        <v>📋 28 registros   |   ✅ 23   |   🕓 0   |   ❌ 4</v>
      </c>
      <c r="C4" s="33"/>
      <c r="D4" s="33"/>
      <c r="E4" s="33"/>
      <c r="F4" s="33"/>
      <c r="G4" s="33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15" hidden="false" customHeight="true" outlineLevel="0" collapsed="false">
      <c r="B5" s="34" t="s">
        <v>7</v>
      </c>
      <c r="C5" s="34" t="s">
        <v>16</v>
      </c>
      <c r="D5" s="34" t="s">
        <v>11</v>
      </c>
      <c r="E5" s="34" t="s">
        <v>17</v>
      </c>
      <c r="F5" s="34" t="s">
        <v>13</v>
      </c>
      <c r="G5" s="34" t="s">
        <v>18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6.5" hidden="false" customHeight="true" outlineLevel="0" collapsed="false">
      <c r="B6" s="35" t="n">
        <f aca="false">IF(C6="","",ROW()-5)</f>
        <v>1</v>
      </c>
      <c r="C6" s="35" t="s">
        <v>19</v>
      </c>
      <c r="D6" s="36" t="s">
        <v>20</v>
      </c>
      <c r="E6" s="37"/>
      <c r="F6" s="36" t="str">
        <f aca="true">IFERROR(IF(ISNUMBER(E6),E6-TODAY(),DATE(VALUE(RIGHT(E6,4)),VALUE(MID(E6,4,2)),VALUE(LEFT(E6,2)))-TODAY()),"—")</f>
        <v>—</v>
      </c>
      <c r="G6" s="35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6.5" hidden="false" customHeight="true" outlineLevel="0" collapsed="false">
      <c r="B7" s="35" t="n">
        <f aca="false">IF(C7="","",ROW()-5)</f>
        <v>2</v>
      </c>
      <c r="C7" s="38" t="s">
        <v>21</v>
      </c>
      <c r="D7" s="38" t="s">
        <v>20</v>
      </c>
      <c r="E7" s="39"/>
      <c r="F7" s="38" t="str">
        <f aca="true">IFERROR(IF(ISNUMBER(E7),E7-TODAY(),DATE(VALUE(RIGHT(E7,4)),VALUE(MID(E7,4,2)),VALUE(LEFT(E7,2)))-TODAY()),"—")</f>
        <v>—</v>
      </c>
      <c r="G7" s="38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16.5" hidden="false" customHeight="true" outlineLevel="0" collapsed="false">
      <c r="B8" s="35" t="n">
        <f aca="false">IF(C8="","",ROW()-5)</f>
        <v>3</v>
      </c>
      <c r="C8" s="35" t="s">
        <v>22</v>
      </c>
      <c r="D8" s="36" t="s">
        <v>20</v>
      </c>
      <c r="E8" s="37"/>
      <c r="F8" s="36" t="str">
        <f aca="true">IFERROR(IF(ISNUMBER(E8),E8-TODAY(),DATE(VALUE(RIGHT(E8,4)),VALUE(MID(E8,4,2)),VALUE(LEFT(E8,2)))-TODAY()),"—")</f>
        <v>—</v>
      </c>
      <c r="G8" s="3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B9" s="35" t="n">
        <f aca="false">IF(C9="","",ROW()-5)</f>
        <v>4</v>
      </c>
      <c r="C9" s="38" t="s">
        <v>23</v>
      </c>
      <c r="D9" s="38" t="s">
        <v>20</v>
      </c>
      <c r="E9" s="39"/>
      <c r="F9" s="38" t="str">
        <f aca="true">IFERROR(IF(ISNUMBER(E9),E9-TODAY(),DATE(VALUE(RIGHT(E9,4)),VALUE(MID(E9,4,2)),VALUE(LEFT(E9,2)))-TODAY()),"—")</f>
        <v>—</v>
      </c>
      <c r="G9" s="3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B10" s="35" t="n">
        <f aca="false">IF(C10="","",ROW()-5)</f>
        <v>5</v>
      </c>
      <c r="C10" s="35" t="s">
        <v>24</v>
      </c>
      <c r="D10" s="36" t="s">
        <v>25</v>
      </c>
      <c r="E10" s="37" t="s">
        <v>26</v>
      </c>
      <c r="F10" s="36" t="n">
        <f aca="true">IFERROR(IF(ISNUMBER(E10),E10-TODAY(),DATE(VALUE(RIGHT(E10,4)),VALUE(MID(E10,4,2)),VALUE(LEFT(E10,2)))-TODAY()),"—")</f>
        <v>152</v>
      </c>
      <c r="G10" s="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6.5" hidden="false" customHeight="true" outlineLevel="0" collapsed="false">
      <c r="B11" s="35" t="n">
        <f aca="false">IF(C11="","",ROW()-5)</f>
        <v>6</v>
      </c>
      <c r="C11" s="38" t="s">
        <v>27</v>
      </c>
      <c r="D11" s="38" t="s">
        <v>25</v>
      </c>
      <c r="E11" s="39" t="s">
        <v>28</v>
      </c>
      <c r="F11" s="38" t="n">
        <f aca="true">IFERROR(IF(ISNUMBER(E11),E11-TODAY(),DATE(VALUE(RIGHT(E11,4)),VALUE(MID(E11,4,2)),VALUE(LEFT(E11,2)))-TODAY()),"—")</f>
        <v>165</v>
      </c>
      <c r="G11" s="38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B12" s="35" t="n">
        <f aca="false">IF(C12="","",ROW()-5)</f>
        <v>7</v>
      </c>
      <c r="C12" s="35" t="s">
        <v>29</v>
      </c>
      <c r="D12" s="36" t="s">
        <v>25</v>
      </c>
      <c r="E12" s="37" t="s">
        <v>30</v>
      </c>
      <c r="F12" s="36" t="n">
        <f aca="true">IFERROR(IF(ISNUMBER(E12),E12-TODAY(),DATE(VALUE(RIGHT(E12,4)),VALUE(MID(E12,4,2)),VALUE(LEFT(E12,2)))-TODAY()),"—")</f>
        <v>175</v>
      </c>
      <c r="G12" s="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8" hidden="false" customHeight="true" outlineLevel="0" collapsed="false">
      <c r="B13" s="35" t="n">
        <f aca="false">IF(C13="","",ROW()-5)</f>
        <v>8</v>
      </c>
      <c r="C13" s="38" t="s">
        <v>31</v>
      </c>
      <c r="D13" s="38" t="s">
        <v>25</v>
      </c>
      <c r="E13" s="39" t="s">
        <v>32</v>
      </c>
      <c r="F13" s="38" t="n">
        <f aca="true">IFERROR(IF(ISNUMBER(E13),E13-TODAY(),DATE(VALUE(RIGHT(E13,4)),VALUE(MID(E13,4,2)),VALUE(LEFT(E13,2)))-TODAY()),"—")</f>
        <v>334</v>
      </c>
      <c r="G13" s="38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21.75" hidden="false" customHeight="true" outlineLevel="0" collapsed="false">
      <c r="B14" s="35" t="n">
        <f aca="false">IF(C14="","",ROW()-5)</f>
        <v>9</v>
      </c>
      <c r="C14" s="35" t="s">
        <v>33</v>
      </c>
      <c r="D14" s="36" t="s">
        <v>25</v>
      </c>
      <c r="E14" s="37" t="s">
        <v>34</v>
      </c>
      <c r="F14" s="36" t="n">
        <f aca="true">IFERROR(IF(ISNUMBER(E14),E14-TODAY(),DATE(VALUE(RIGHT(E14,4)),VALUE(MID(E14,4,2)),VALUE(LEFT(E14,2)))-TODAY()),"—")</f>
        <v>147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6.5" hidden="false" customHeight="true" outlineLevel="0" collapsed="false">
      <c r="B15" s="35" t="n">
        <f aca="false">IF(C15="","",ROW()-5)</f>
        <v>10</v>
      </c>
      <c r="C15" s="38" t="s">
        <v>35</v>
      </c>
      <c r="D15" s="38" t="s">
        <v>25</v>
      </c>
      <c r="E15" s="39" t="s">
        <v>36</v>
      </c>
      <c r="F15" s="40" t="n">
        <f aca="true">IFERROR(IF(ISNUMBER(E15),E15-TODAY(),DATE(VALUE(RIGHT(E15,4)),VALUE(MID(E15,4,2)),VALUE(LEFT(E15,2)))-TODAY()),"—")</f>
        <v>392</v>
      </c>
      <c r="G15" s="3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6.5" hidden="false" customHeight="true" outlineLevel="0" collapsed="false">
      <c r="B16" s="35" t="n">
        <f aca="false">IF(C16="","",ROW()-5)</f>
        <v>11</v>
      </c>
      <c r="C16" s="35" t="s">
        <v>37</v>
      </c>
      <c r="D16" s="36" t="s">
        <v>25</v>
      </c>
      <c r="E16" s="37" t="s">
        <v>38</v>
      </c>
      <c r="F16" s="35" t="n">
        <f aca="true">IFERROR(IF(ISNUMBER(E16),E16-TODAY(),DATE(VALUE(RIGHT(E16,4)),VALUE(MID(E16,4,2)),VALUE(LEFT(E16,2)))-TODAY()),"—")</f>
        <v>15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6.5" hidden="false" customHeight="true" outlineLevel="0" collapsed="false">
      <c r="B17" s="35" t="n">
        <f aca="false">IF(C17="","",ROW()-5)</f>
        <v>12</v>
      </c>
      <c r="C17" s="38" t="s">
        <v>39</v>
      </c>
      <c r="D17" s="38" t="s">
        <v>25</v>
      </c>
      <c r="E17" s="39" t="s">
        <v>32</v>
      </c>
      <c r="F17" s="40" t="n">
        <f aca="true">IFERROR(IF(ISNUMBER(E17),E17-TODAY(),DATE(VALUE(RIGHT(E17,4)),VALUE(MID(E17,4,2)),VALUE(LEFT(E17,2)))-TODAY()),"—")</f>
        <v>334</v>
      </c>
      <c r="G17" s="3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6.5" hidden="false" customHeight="true" outlineLevel="0" collapsed="false">
      <c r="B18" s="35" t="n">
        <f aca="false">IF(C18="","",ROW()-5)</f>
        <v>13</v>
      </c>
      <c r="C18" s="35" t="s">
        <v>40</v>
      </c>
      <c r="D18" s="36" t="s">
        <v>25</v>
      </c>
      <c r="E18" s="37" t="s">
        <v>36</v>
      </c>
      <c r="F18" s="35" t="n">
        <f aca="true">IFERROR(IF(ISNUMBER(E18),E18-TODAY(),DATE(VALUE(RIGHT(E18,4)),VALUE(MID(E18,4,2)),VALUE(LEFT(E18,2)))-TODAY()),"—")</f>
        <v>392</v>
      </c>
      <c r="G18" s="3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6.5" hidden="false" customHeight="true" outlineLevel="0" collapsed="false">
      <c r="B19" s="35" t="n">
        <f aca="false">IF(C19="","",ROW()-5)</f>
        <v>14</v>
      </c>
      <c r="C19" s="38" t="s">
        <v>41</v>
      </c>
      <c r="D19" s="38" t="s">
        <v>25</v>
      </c>
      <c r="E19" s="39" t="s">
        <v>42</v>
      </c>
      <c r="F19" s="40" t="n">
        <f aca="true">IFERROR(IF(ISNUMBER(E19),E19-TODAY(),DATE(VALUE(RIGHT(E19,4)),VALUE(MID(E19,4,2)),VALUE(LEFT(E19,2)))-TODAY()),"—")</f>
        <v>131</v>
      </c>
      <c r="G19" s="3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6.5" hidden="false" customHeight="true" outlineLevel="0" collapsed="false">
      <c r="B20" s="35" t="n">
        <f aca="false">IF(C20="","",ROW()-5)</f>
        <v>15</v>
      </c>
      <c r="C20" s="35" t="s">
        <v>43</v>
      </c>
      <c r="D20" s="36" t="s">
        <v>25</v>
      </c>
      <c r="E20" s="37" t="s">
        <v>44</v>
      </c>
      <c r="F20" s="35" t="n">
        <f aca="true">IFERROR(IF(ISNUMBER(E20),E20-TODAY(),DATE(VALUE(RIGHT(E20,4)),VALUE(MID(E20,4,2)),VALUE(LEFT(E20,2)))-TODAY()),"—")</f>
        <v>130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6.5" hidden="false" customHeight="true" outlineLevel="0" collapsed="false">
      <c r="B21" s="35" t="n">
        <f aca="false">IF(C21="","",ROW()-5)</f>
        <v>16</v>
      </c>
      <c r="C21" s="38" t="s">
        <v>45</v>
      </c>
      <c r="D21" s="38" t="s">
        <v>25</v>
      </c>
      <c r="E21" s="39" t="s">
        <v>46</v>
      </c>
      <c r="F21" s="40" t="n">
        <f aca="true">IFERROR(IF(ISNUMBER(E21),E21-TODAY(),DATE(VALUE(RIGHT(E21,4)),VALUE(MID(E21,4,2)),VALUE(LEFT(E21,2)))-TODAY()),"—")</f>
        <v>158</v>
      </c>
      <c r="G21" s="38"/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B22" s="35" t="n">
        <f aca="false">IF(C22="","",ROW()-5)</f>
        <v>17</v>
      </c>
      <c r="C22" s="35" t="s">
        <v>47</v>
      </c>
      <c r="D22" s="36" t="s">
        <v>25</v>
      </c>
      <c r="E22" s="37" t="s">
        <v>48</v>
      </c>
      <c r="F22" s="36" t="n">
        <f aca="true">IFERROR(IF(ISNUMBER(E22),E22-TODAY(),DATE(VALUE(RIGHT(E22,4)),VALUE(MID(E22,4,2)),VALUE(LEFT(E22,2)))-TODAY()),"—")</f>
        <v>146</v>
      </c>
      <c r="G22" s="35"/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B23" s="35" t="n">
        <f aca="false">IF(C23="","",ROW()-5)</f>
        <v>18</v>
      </c>
      <c r="C23" s="38" t="s">
        <v>49</v>
      </c>
      <c r="D23" s="38" t="s">
        <v>25</v>
      </c>
      <c r="E23" s="39" t="s">
        <v>48</v>
      </c>
      <c r="F23" s="38" t="n">
        <f aca="true">IFERROR(IF(ISNUMBER(E23),E23-TODAY(),DATE(VALUE(RIGHT(E23,4)),VALUE(MID(E23,4,2)),VALUE(LEFT(E23,2)))-TODAY()),"—")</f>
        <v>146</v>
      </c>
      <c r="G23" s="38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B24" s="35" t="n">
        <f aca="false">IF(C24="","",ROW()-5)</f>
        <v>19</v>
      </c>
      <c r="C24" s="35" t="s">
        <v>50</v>
      </c>
      <c r="D24" s="36" t="s">
        <v>51</v>
      </c>
      <c r="E24" s="37"/>
      <c r="F24" s="36" t="str">
        <f aca="true">IFERROR(IF(ISNUMBER(E24),E24-TODAY(),DATE(VALUE(RIGHT(E24,4)),VALUE(MID(E24,4,2)),VALUE(LEFT(E24,2)))-TODAY()),"—")</f>
        <v>—</v>
      </c>
      <c r="G24" s="35"/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B25" s="35" t="n">
        <f aca="false">IF(C25="","",ROW()-5)</f>
        <v>20</v>
      </c>
      <c r="C25" s="38" t="s">
        <v>52</v>
      </c>
      <c r="D25" s="38" t="s">
        <v>25</v>
      </c>
      <c r="E25" s="39" t="s">
        <v>48</v>
      </c>
      <c r="F25" s="38" t="n">
        <f aca="true">IFERROR(IF(ISNUMBER(E25),E25-TODAY(),DATE(VALUE(RIGHT(E25,4)),VALUE(MID(E25,4,2)),VALUE(LEFT(E25,2)))-TODAY()),"—")</f>
        <v>146</v>
      </c>
      <c r="G25" s="38"/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B26" s="35" t="n">
        <f aca="false">IF(C26="","",ROW()-5)</f>
        <v>21</v>
      </c>
      <c r="C26" s="35" t="s">
        <v>53</v>
      </c>
      <c r="D26" s="36" t="s">
        <v>25</v>
      </c>
      <c r="E26" s="37" t="s">
        <v>48</v>
      </c>
      <c r="F26" s="36" t="n">
        <f aca="true">IFERROR(IF(ISNUMBER(E26),E26-TODAY(),DATE(VALUE(RIGHT(E26,4)),VALUE(MID(E26,4,2)),VALUE(LEFT(E26,2)))-TODAY()),"—")</f>
        <v>146</v>
      </c>
      <c r="G26" s="35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B27" s="35" t="n">
        <f aca="false">IF(C27="","",ROW()-5)</f>
        <v>22</v>
      </c>
      <c r="C27" s="38" t="s">
        <v>54</v>
      </c>
      <c r="D27" s="38" t="s">
        <v>25</v>
      </c>
      <c r="E27" s="39" t="s">
        <v>48</v>
      </c>
      <c r="F27" s="38" t="n">
        <f aca="true">IFERROR(IF(ISNUMBER(E27),E27-TODAY(),DATE(VALUE(RIGHT(E27,4)),VALUE(MID(E27,4,2)),VALUE(LEFT(E27,2)))-TODAY()),"—")</f>
        <v>146</v>
      </c>
      <c r="G27" s="38"/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B28" s="35" t="n">
        <f aca="false">IF(C28="","",ROW()-5)</f>
        <v>23</v>
      </c>
      <c r="C28" s="35" t="s">
        <v>55</v>
      </c>
      <c r="D28" s="36" t="s">
        <v>25</v>
      </c>
      <c r="E28" s="37" t="s">
        <v>48</v>
      </c>
      <c r="F28" s="36" t="n">
        <f aca="true">IFERROR(IF(ISNUMBER(E28),E28-TODAY(),DATE(VALUE(RIGHT(E28,4)),VALUE(MID(E28,4,2)),VALUE(LEFT(E28,2)))-TODAY()),"—")</f>
        <v>146</v>
      </c>
      <c r="G28" s="35"/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B29" s="35" t="n">
        <f aca="false">IF(C29="","",ROW()-5)</f>
        <v>24</v>
      </c>
      <c r="C29" s="38" t="s">
        <v>56</v>
      </c>
      <c r="D29" s="38" t="s">
        <v>25</v>
      </c>
      <c r="E29" s="39" t="s">
        <v>57</v>
      </c>
      <c r="F29" s="38" t="n">
        <f aca="true">IFERROR(IF(ISNUMBER(E29),E29-TODAY(),DATE(VALUE(RIGHT(E29,4)),VALUE(MID(E29,4,2)),VALUE(LEFT(E29,2)))-TODAY()),"—")</f>
        <v>178</v>
      </c>
      <c r="G29" s="38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B30" s="35" t="n">
        <f aca="false">IF(C30="","",ROW()-5)</f>
        <v>25</v>
      </c>
      <c r="C30" s="35" t="s">
        <v>58</v>
      </c>
      <c r="D30" s="36" t="s">
        <v>25</v>
      </c>
      <c r="E30" s="37" t="s">
        <v>57</v>
      </c>
      <c r="F30" s="36" t="n">
        <f aca="true">IFERROR(IF(ISNUMBER(E30),E30-TODAY(),DATE(VALUE(RIGHT(E30,4)),VALUE(MID(E30,4,2)),VALUE(LEFT(E30,2)))-TODAY()),"—")</f>
        <v>178</v>
      </c>
      <c r="G30" s="35"/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B31" s="35" t="n">
        <f aca="false">IF(C31="","",ROW()-5)</f>
        <v>26</v>
      </c>
      <c r="C31" s="38" t="s">
        <v>59</v>
      </c>
      <c r="D31" s="38" t="s">
        <v>25</v>
      </c>
      <c r="E31" s="39" t="s">
        <v>60</v>
      </c>
      <c r="F31" s="38" t="n">
        <f aca="true">IFERROR(IF(ISNUMBER(E31),E31-TODAY(),DATE(VALUE(RIGHT(E31,4)),VALUE(MID(E31,4,2)),VALUE(LEFT(E31,2)))-TODAY()),"—")</f>
        <v>155</v>
      </c>
      <c r="G31" s="38"/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B32" s="35" t="n">
        <f aca="false">IF(C32="","",ROW()-5)</f>
        <v>27</v>
      </c>
      <c r="C32" s="35" t="s">
        <v>61</v>
      </c>
      <c r="D32" s="36" t="s">
        <v>25</v>
      </c>
      <c r="E32" s="37" t="s">
        <v>62</v>
      </c>
      <c r="F32" s="36" t="n">
        <f aca="true">IFERROR(IF(ISNUMBER(E32),E32-TODAY(),DATE(VALUE(RIGHT(E32,4)),VALUE(MID(E32,4,2)),VALUE(LEFT(E32,2)))-TODAY()),"—")</f>
        <v>168</v>
      </c>
      <c r="G32" s="35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B33" s="35" t="n">
        <f aca="false">IF(C33="","",ROW()-5)</f>
        <v>28</v>
      </c>
      <c r="C33" s="38" t="s">
        <v>63</v>
      </c>
      <c r="D33" s="38" t="s">
        <v>25</v>
      </c>
      <c r="E33" s="39" t="s">
        <v>62</v>
      </c>
      <c r="F33" s="38" t="n">
        <f aca="true">IFERROR(IF(ISNUMBER(E33),E33-TODAY(),DATE(VALUE(RIGHT(E33,4)),VALUE(MID(E33,4,2)),VALUE(LEFT(E33,2)))-TODAY()),"—")</f>
        <v>168</v>
      </c>
      <c r="G33" s="38"/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B34" s="35" t="str">
        <f aca="false">IF(C34="","",ROW()-5)</f>
        <v/>
      </c>
      <c r="C34" s="35"/>
      <c r="D34" s="36"/>
      <c r="E34" s="37"/>
      <c r="F34" s="36" t="str">
        <f aca="true">IFERROR(IF(ISNUMBER(E34),E34-TODAY(),DATE(VALUE(RIGHT(E34,4)),VALUE(MID(E34,4,2)),VALUE(LEFT(E34,2)))-TODAY()),"—")</f>
        <v>—</v>
      </c>
      <c r="G34" s="35"/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B35" s="35" t="str">
        <f aca="false">IF(C35="","",ROW()-5)</f>
        <v/>
      </c>
      <c r="C35" s="38"/>
      <c r="D35" s="38"/>
      <c r="E35" s="39"/>
      <c r="F35" s="38" t="str">
        <f aca="true">IFERROR(IF(ISNUMBER(E35),E35-TODAY(),DATE(VALUE(RIGHT(E35,4)),VALUE(MID(E35,4,2)),VALUE(LEFT(E35,2)))-TODAY()),"—")</f>
        <v>—</v>
      </c>
      <c r="G35" s="38"/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H221" s="1"/>
      <c r="I221" s="1"/>
      <c r="J221" s="1"/>
      <c r="K221" s="1"/>
      <c r="L221" s="1"/>
      <c r="M221" s="1"/>
      <c r="N221" s="1"/>
      <c r="O221" s="1"/>
      <c r="P221" s="1"/>
      <c r="Q221" s="1"/>
      <c r="R221" s="1"/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H222" s="1"/>
      <c r="I222" s="1"/>
      <c r="J222" s="1"/>
      <c r="K222" s="1"/>
      <c r="L222" s="1"/>
      <c r="M222" s="1"/>
      <c r="N222" s="1"/>
      <c r="O222" s="1"/>
      <c r="P222" s="1"/>
      <c r="Q222" s="1"/>
      <c r="R222" s="1"/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H223" s="1"/>
      <c r="I223" s="1"/>
      <c r="J223" s="1"/>
      <c r="K223" s="1"/>
      <c r="L223" s="1"/>
      <c r="M223" s="1"/>
      <c r="N223" s="1"/>
      <c r="O223" s="1"/>
      <c r="P223" s="1"/>
      <c r="Q223" s="1"/>
      <c r="R223" s="1"/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H224" s="1"/>
      <c r="I224" s="1"/>
      <c r="J224" s="1"/>
      <c r="K224" s="1"/>
      <c r="L224" s="1"/>
      <c r="M224" s="1"/>
      <c r="N224" s="1"/>
      <c r="O224" s="1"/>
      <c r="P224" s="1"/>
      <c r="Q224" s="1"/>
      <c r="R224" s="1"/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H225" s="1"/>
      <c r="I225" s="1"/>
      <c r="J225" s="1"/>
      <c r="K225" s="1"/>
      <c r="L225" s="1"/>
      <c r="M225" s="1"/>
      <c r="N225" s="1"/>
      <c r="O225" s="1"/>
      <c r="P225" s="1"/>
      <c r="Q225" s="1"/>
      <c r="R225" s="1"/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H226" s="1"/>
      <c r="I226" s="1"/>
      <c r="J226" s="1"/>
      <c r="K226" s="1"/>
      <c r="L226" s="1"/>
      <c r="M226" s="1"/>
      <c r="N226" s="1"/>
      <c r="O226" s="1"/>
      <c r="P226" s="1"/>
      <c r="Q226" s="1"/>
      <c r="R226" s="1"/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H227" s="1"/>
      <c r="I227" s="1"/>
      <c r="J227" s="1"/>
      <c r="K227" s="1"/>
      <c r="L227" s="1"/>
      <c r="M227" s="1"/>
      <c r="N227" s="1"/>
      <c r="O227" s="1"/>
      <c r="P227" s="1"/>
      <c r="Q227" s="1"/>
      <c r="R227" s="1"/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H228" s="1"/>
      <c r="I228" s="1"/>
      <c r="J228" s="1"/>
      <c r="K228" s="1"/>
      <c r="L228" s="1"/>
      <c r="M228" s="1"/>
      <c r="N228" s="1"/>
      <c r="O228" s="1"/>
      <c r="P228" s="1"/>
      <c r="Q228" s="1"/>
      <c r="R228" s="1"/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H229" s="1"/>
      <c r="I229" s="1"/>
      <c r="J229" s="1"/>
      <c r="K229" s="1"/>
      <c r="L229" s="1"/>
      <c r="M229" s="1"/>
      <c r="N229" s="1"/>
      <c r="O229" s="1"/>
      <c r="P229" s="1"/>
      <c r="Q229" s="1"/>
      <c r="R229" s="1"/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H230" s="1"/>
      <c r="I230" s="1"/>
      <c r="J230" s="1"/>
      <c r="K230" s="1"/>
      <c r="L230" s="1"/>
      <c r="M230" s="1"/>
      <c r="N230" s="1"/>
      <c r="O230" s="1"/>
      <c r="P230" s="1"/>
      <c r="Q230" s="1"/>
      <c r="R230" s="1"/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H231" s="1"/>
      <c r="I231" s="1"/>
      <c r="J231" s="1"/>
      <c r="K231" s="1"/>
      <c r="L231" s="1"/>
      <c r="M231" s="1"/>
      <c r="N231" s="1"/>
      <c r="O231" s="1"/>
      <c r="P231" s="1"/>
      <c r="Q231" s="1"/>
      <c r="R231" s="1"/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H232" s="1"/>
      <c r="I232" s="1"/>
      <c r="J232" s="1"/>
      <c r="K232" s="1"/>
      <c r="L232" s="1"/>
      <c r="M232" s="1"/>
      <c r="N232" s="1"/>
      <c r="O232" s="1"/>
      <c r="P232" s="1"/>
      <c r="Q232" s="1"/>
      <c r="R232" s="1"/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H233" s="1"/>
      <c r="I233" s="1"/>
      <c r="J233" s="1"/>
      <c r="K233" s="1"/>
      <c r="L233" s="1"/>
      <c r="M233" s="1"/>
      <c r="N233" s="1"/>
      <c r="O233" s="1"/>
      <c r="P233" s="1"/>
      <c r="Q233" s="1"/>
      <c r="R233" s="1"/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H234" s="1"/>
      <c r="I234" s="1"/>
      <c r="J234" s="1"/>
      <c r="K234" s="1"/>
      <c r="L234" s="1"/>
      <c r="M234" s="1"/>
      <c r="N234" s="1"/>
      <c r="O234" s="1"/>
      <c r="P234" s="1"/>
      <c r="Q234" s="1"/>
      <c r="R234" s="1"/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H235" s="1"/>
      <c r="I235" s="1"/>
      <c r="J235" s="1"/>
      <c r="K235" s="1"/>
      <c r="L235" s="1"/>
      <c r="M235" s="1"/>
      <c r="N235" s="1"/>
      <c r="O235" s="1"/>
      <c r="P235" s="1"/>
      <c r="Q235" s="1"/>
      <c r="R235" s="1"/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B5:G35"/>
  <mergeCells count="1">
    <mergeCell ref="B4:G4"/>
  </mergeCells>
  <conditionalFormatting sqref="D6:D35">
    <cfRule type="expression" priority="2" aboveAverage="0" equalAverage="0" bottom="0" percent="0" rank="0" text="" dxfId="19">
      <formula>D6="TEM PERFIL"</formula>
    </cfRule>
    <cfRule type="expression" priority="3" aboveAverage="0" equalAverage="0" bottom="0" percent="0" rank="0" text="" dxfId="20">
      <formula>D6="NÃO TEM PERFIL"</formula>
    </cfRule>
    <cfRule type="expression" priority="4" aboveAverage="0" equalAverage="0" bottom="0" percent="0" rank="0" text="" dxfId="21">
      <formula>D6="AGUARDANDO RETORNO"</formula>
    </cfRule>
  </conditionalFormatting>
  <conditionalFormatting sqref="F6:F35">
    <cfRule type="cellIs" priority="5" operator="lessThan" aboveAverage="0" equalAverage="0" bottom="0" percent="0" rank="0" text="" dxfId="4">
      <formula>0</formula>
    </cfRule>
    <cfRule type="cellIs" priority="6" operator="between" aboveAverage="0" equalAverage="0" bottom="0" percent="0" rank="0" text="" dxfId="5">
      <formula>0</formula>
      <formula>30</formula>
    </cfRule>
    <cfRule type="cellIs" priority="7" operator="between" aboveAverage="0" equalAverage="0" bottom="0" percent="0" rank="0" text="" dxfId="6">
      <formula>31</formula>
      <formula>60</formula>
    </cfRule>
    <cfRule type="cellIs" priority="8" operator="lessThan" aboveAverage="0" equalAverage="0" bottom="0" percent="0" rank="0" text="" dxfId="9">
      <formula>0</formula>
    </cfRule>
    <cfRule type="cellIs" priority="9" operator="between" aboveAverage="0" equalAverage="0" bottom="0" percent="0" rank="0" text="" dxfId="7">
      <formula>0</formula>
      <formula>30</formula>
    </cfRule>
    <cfRule type="cellIs" priority="10" operator="between" aboveAverage="0" equalAverage="0" bottom="0" percent="0" rank="0" text="" dxfId="8">
      <formula>31</formula>
      <formula>60</formula>
    </cfRule>
    <cfRule type="cellIs" priority="11" operator="greaterThan" aboveAverage="0" equalAverage="0" bottom="0" percent="0" rank="0" text="" dxfId="10">
      <formula>60</formula>
    </cfRule>
  </conditionalFormatting>
  <conditionalFormatting sqref="F15:F21">
    <cfRule type="cellIs" priority="12" operator="lessThan" aboveAverage="0" equalAverage="0" bottom="0" percent="0" rank="0" text="" dxfId="0">
      <formula>0</formula>
    </cfRule>
    <cfRule type="cellIs" priority="13" operator="between" aboveAverage="0" equalAverage="0" bottom="0" percent="0" rank="0" text="" dxfId="1">
      <formula>0</formula>
      <formula>30</formula>
    </cfRule>
    <cfRule type="cellIs" priority="14" operator="between" aboveAverage="0" equalAverage="0" bottom="0" percent="0" rank="0" text="" dxfId="2">
      <formula>31</formula>
      <formula>60</formula>
    </cfRule>
    <cfRule type="cellIs" priority="15" operator="greaterThan" aboveAverage="0" equalAverage="0" bottom="0" percent="0" rank="0" text="" dxfId="3">
      <formula>60</formula>
    </cfRule>
  </conditionalFormatting>
  <dataValidations count="1">
    <dataValidation allowBlank="true" errorStyle="stop" operator="between" showDropDown="false" showErrorMessage="false" showInputMessage="false" sqref="D6:D35" type="list">
      <formula1>"TEM PERFIL,AGUARDANDO RETORNO,NÃO TEM PERFIL"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5" topLeftCell="D6" activePane="bottomRight" state="frozen"/>
      <selection pane="topLeft" activeCell="A1" activeCellId="0" sqref="A1"/>
      <selection pane="topRight" activeCell="D1" activeCellId="0" sqref="D1"/>
      <selection pane="bottomLeft" activeCell="A6" activeCellId="0" sqref="A6"/>
      <selection pane="bottomRight" activeCell="C6" activeCellId="0" sqref="C6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3.57"/>
    <col collapsed="false" customWidth="true" hidden="false" outlineLevel="0" max="2" min="2" style="1" width="1.57"/>
    <col collapsed="false" customWidth="true" hidden="false" outlineLevel="0" max="3" min="3" style="1" width="60.71"/>
    <col collapsed="false" customWidth="true" hidden="false" outlineLevel="0" max="4" min="4" style="1" width="20"/>
    <col collapsed="false" customWidth="true" hidden="false" outlineLevel="0" max="5" min="5" style="1" width="43.43"/>
    <col collapsed="false" customWidth="true" hidden="false" outlineLevel="0" max="6" min="6" style="1" width="24"/>
    <col collapsed="false" customWidth="true" hidden="false" outlineLevel="0" max="7" min="7" style="1" width="13"/>
    <col collapsed="false" customWidth="true" hidden="false" outlineLevel="0" max="8" min="8" style="1" width="10.29"/>
    <col collapsed="false" customWidth="true" hidden="false" outlineLevel="0" max="9" min="9" style="1" width="53.29"/>
    <col collapsed="false" customWidth="true" hidden="false" outlineLevel="0" max="10" min="10" style="1" width="4.43"/>
    <col collapsed="false" customWidth="true" hidden="false" outlineLevel="0" max="18" min="11" style="1" width="8.71"/>
  </cols>
  <sheetData>
    <row r="1" customFormat="false" ht="27.75" hidden="false" customHeight="true" outlineLevel="0" collapsed="false">
      <c r="A1" s="41"/>
      <c r="C1" s="29" t="s">
        <v>0</v>
      </c>
      <c r="D1" s="42"/>
      <c r="E1" s="42"/>
      <c r="F1" s="42"/>
      <c r="G1" s="42"/>
      <c r="H1" s="42"/>
      <c r="I1" s="42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C2" s="31" t="s">
        <v>64</v>
      </c>
      <c r="D2" s="42"/>
      <c r="E2" s="42"/>
      <c r="F2" s="42"/>
      <c r="G2" s="42"/>
      <c r="H2" s="42"/>
      <c r="I2" s="42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true" outlineLevel="0" collapsed="false">
      <c r="C3" s="32" t="s">
        <v>15</v>
      </c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C4" s="33" t="str">
        <f aca="false">"📋 "&amp;COUNTA(E6:E95)&amp;" registros   |   ✅ "&amp;COUNTIF(F6:F95,"TEM PERFIL")&amp;"   |   🕓 "&amp;COUNTIF(F6:F95,"AGUARDANDO RETORNO")&amp;"   |   ❌ "&amp;COUNTIF(F6:F95,"NÃO TEM PERFIL")</f>
        <v>📋 88 registros   |   ✅ 71   |   🕓 1   |   ❌ 11</v>
      </c>
      <c r="D4" s="33"/>
      <c r="E4" s="33"/>
      <c r="F4" s="33"/>
      <c r="G4" s="33"/>
      <c r="H4" s="33"/>
      <c r="I4" s="33"/>
      <c r="S4" s="1"/>
      <c r="T4" s="1"/>
      <c r="U4" s="1"/>
      <c r="V4" s="1"/>
      <c r="W4" s="1"/>
      <c r="X4" s="1"/>
      <c r="Y4" s="1"/>
      <c r="Z4" s="1"/>
    </row>
    <row r="5" customFormat="false" ht="23.25" hidden="false" customHeight="true" outlineLevel="0" collapsed="false">
      <c r="C5" s="34" t="s">
        <v>7</v>
      </c>
      <c r="D5" s="34" t="s">
        <v>65</v>
      </c>
      <c r="E5" s="34" t="s">
        <v>66</v>
      </c>
      <c r="F5" s="34" t="s">
        <v>11</v>
      </c>
      <c r="G5" s="34" t="s">
        <v>17</v>
      </c>
      <c r="H5" s="34" t="s">
        <v>13</v>
      </c>
      <c r="I5" s="34" t="s">
        <v>18</v>
      </c>
      <c r="S5" s="1"/>
      <c r="T5" s="1"/>
      <c r="U5" s="1"/>
      <c r="V5" s="1"/>
      <c r="W5" s="1"/>
      <c r="X5" s="1"/>
      <c r="Y5" s="1"/>
      <c r="Z5" s="1"/>
    </row>
    <row r="6" customFormat="false" ht="16.5" hidden="false" customHeight="true" outlineLevel="0" collapsed="false">
      <c r="C6" s="35" t="n">
        <f aca="false">IF(E6="","",ROW()-5)</f>
        <v>1</v>
      </c>
      <c r="D6" s="35" t="s">
        <v>67</v>
      </c>
      <c r="E6" s="43" t="s">
        <v>68</v>
      </c>
      <c r="F6" s="36" t="s">
        <v>20</v>
      </c>
      <c r="G6" s="37"/>
      <c r="H6" s="36" t="str">
        <f aca="true">IFERROR(IF(ISNUMBER(G6),G6-TODAY(),DATE(VALUE(RIGHT(G6,4)),VALUE(MID(G6,4,2)),VALUE(LEFT(G6,2)))-TODAY()),"—")</f>
        <v>—</v>
      </c>
      <c r="I6" s="44"/>
      <c r="S6" s="1"/>
      <c r="T6" s="1"/>
      <c r="U6" s="1"/>
      <c r="V6" s="1"/>
      <c r="W6" s="1"/>
      <c r="X6" s="1"/>
      <c r="Y6" s="1"/>
      <c r="Z6" s="1"/>
    </row>
    <row r="7" customFormat="false" ht="16.5" hidden="false" customHeight="true" outlineLevel="0" collapsed="false">
      <c r="C7" s="35" t="n">
        <f aca="false">IF(E7="","",ROW()-5)</f>
        <v>2</v>
      </c>
      <c r="D7" s="38" t="s">
        <v>69</v>
      </c>
      <c r="E7" s="45" t="s">
        <v>70</v>
      </c>
      <c r="F7" s="38" t="s">
        <v>25</v>
      </c>
      <c r="G7" s="39" t="n">
        <v>46406</v>
      </c>
      <c r="H7" s="38" t="n">
        <f aca="true">IFERROR(IF(ISNUMBER(G7),G7-TODAY(),DATE(VALUE(RIGHT(G7,4)),VALUE(MID(G7,4,2)),VALUE(LEFT(G7,2)))-TODAY()),"—")</f>
        <v>137</v>
      </c>
      <c r="I7" s="46"/>
      <c r="S7" s="1"/>
      <c r="T7" s="1"/>
      <c r="U7" s="1"/>
      <c r="V7" s="1"/>
      <c r="W7" s="1"/>
      <c r="X7" s="1"/>
      <c r="Y7" s="1"/>
      <c r="Z7" s="1"/>
    </row>
    <row r="8" customFormat="false" ht="16.5" hidden="false" customHeight="true" outlineLevel="0" collapsed="false">
      <c r="C8" s="35" t="n">
        <f aca="false">IF(E8="","",ROW()-5)</f>
        <v>3</v>
      </c>
      <c r="D8" s="35" t="s">
        <v>71</v>
      </c>
      <c r="E8" s="43" t="s">
        <v>72</v>
      </c>
      <c r="F8" s="36" t="s">
        <v>25</v>
      </c>
      <c r="G8" s="37" t="s">
        <v>73</v>
      </c>
      <c r="H8" s="36" t="n">
        <f aca="true">IFERROR(IF(ISNUMBER(G8),G8-TODAY(),DATE(VALUE(RIGHT(G8,4)),VALUE(MID(G8,4,2)),VALUE(LEFT(G8,2)))-TODAY()),"—")</f>
        <v>181</v>
      </c>
      <c r="I8" s="44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C9" s="35" t="n">
        <f aca="false">IF(E9="","",ROW()-5)</f>
        <v>4</v>
      </c>
      <c r="D9" s="38" t="s">
        <v>74</v>
      </c>
      <c r="E9" s="45" t="s">
        <v>75</v>
      </c>
      <c r="F9" s="38" t="s">
        <v>25</v>
      </c>
      <c r="G9" s="39" t="s">
        <v>76</v>
      </c>
      <c r="H9" s="38" t="n">
        <f aca="true">IFERROR(IF(ISNUMBER(G9),G9-TODAY(),DATE(VALUE(RIGHT(G9,4)),VALUE(MID(G9,4,2)),VALUE(LEFT(G9,2)))-TODAY()),"—")</f>
        <v>132</v>
      </c>
      <c r="I9" s="46" t="s">
        <v>77</v>
      </c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C10" s="35" t="n">
        <f aca="false">IF(E10="","",ROW()-5)</f>
        <v>5</v>
      </c>
      <c r="D10" s="35" t="s">
        <v>78</v>
      </c>
      <c r="E10" s="43" t="s">
        <v>79</v>
      </c>
      <c r="F10" s="36" t="s">
        <v>25</v>
      </c>
      <c r="G10" s="37" t="s">
        <v>73</v>
      </c>
      <c r="H10" s="36" t="n">
        <f aca="true">IFERROR(IF(ISNUMBER(G10),G10-TODAY(),DATE(VALUE(RIGHT(G10,4)),VALUE(MID(G10,4,2)),VALUE(LEFT(G10,2)))-TODAY()),"—")</f>
        <v>181</v>
      </c>
      <c r="I10" s="44"/>
      <c r="S10" s="1"/>
      <c r="T10" s="1"/>
      <c r="U10" s="1"/>
      <c r="V10" s="1"/>
      <c r="W10" s="1"/>
      <c r="X10" s="1"/>
      <c r="Y10" s="1"/>
      <c r="Z10" s="1"/>
    </row>
    <row r="11" customFormat="false" ht="16.5" hidden="false" customHeight="true" outlineLevel="0" collapsed="false">
      <c r="C11" s="35" t="n">
        <f aca="false">IF(E11="","",ROW()-5)</f>
        <v>6</v>
      </c>
      <c r="D11" s="38" t="s">
        <v>80</v>
      </c>
      <c r="E11" s="45" t="s">
        <v>81</v>
      </c>
      <c r="F11" s="38" t="s">
        <v>25</v>
      </c>
      <c r="G11" s="39" t="s">
        <v>82</v>
      </c>
      <c r="H11" s="38" t="n">
        <f aca="true">IFERROR(IF(ISNUMBER(G11),G11-TODAY(),DATE(VALUE(RIGHT(G11,4)),VALUE(MID(G11,4,2)),VALUE(LEFT(G11,2)))-TODAY()),"—")</f>
        <v>104</v>
      </c>
      <c r="I11" s="46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C12" s="35" t="n">
        <f aca="false">IF(E12="","",ROW()-5)</f>
        <v>7</v>
      </c>
      <c r="D12" s="35" t="s">
        <v>83</v>
      </c>
      <c r="E12" s="43" t="s">
        <v>84</v>
      </c>
      <c r="F12" s="36" t="s">
        <v>25</v>
      </c>
      <c r="G12" s="37" t="s">
        <v>85</v>
      </c>
      <c r="H12" s="36" t="n">
        <f aca="true">IFERROR(IF(ISNUMBER(G12),G12-TODAY(),DATE(VALUE(RIGHT(G12,4)),VALUE(MID(G12,4,2)),VALUE(LEFT(G12,2)))-TODAY()),"—")</f>
        <v>103</v>
      </c>
      <c r="I12" s="44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C13" s="35" t="n">
        <f aca="false">IF(E13="","",ROW()-5)</f>
        <v>8</v>
      </c>
      <c r="D13" s="38" t="s">
        <v>86</v>
      </c>
      <c r="E13" s="45" t="s">
        <v>87</v>
      </c>
      <c r="F13" s="38" t="s">
        <v>25</v>
      </c>
      <c r="G13" s="39" t="s">
        <v>88</v>
      </c>
      <c r="H13" s="38" t="n">
        <f aca="true">IFERROR(IF(ISNUMBER(G13),G13-TODAY(),DATE(VALUE(RIGHT(G13,4)),VALUE(MID(G13,4,2)),VALUE(LEFT(G13,2)))-TODAY()),"—")</f>
        <v>116</v>
      </c>
      <c r="I13" s="46" t="s">
        <v>89</v>
      </c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C14" s="35" t="n">
        <f aca="false">IF(E14="","",ROW()-5)</f>
        <v>9</v>
      </c>
      <c r="D14" s="35" t="s">
        <v>90</v>
      </c>
      <c r="E14" s="43" t="s">
        <v>91</v>
      </c>
      <c r="F14" s="36" t="s">
        <v>25</v>
      </c>
      <c r="G14" s="37" t="s">
        <v>92</v>
      </c>
      <c r="H14" s="36" t="n">
        <f aca="true">IFERROR(IF(ISNUMBER(G14),G14-TODAY(),DATE(VALUE(RIGHT(G14,4)),VALUE(MID(G14,4,2)),VALUE(LEFT(G14,2)))-TODAY()),"—")</f>
        <v>123</v>
      </c>
      <c r="I14" s="44" t="s">
        <v>93</v>
      </c>
      <c r="S14" s="1"/>
      <c r="T14" s="1"/>
      <c r="U14" s="1"/>
      <c r="V14" s="1"/>
      <c r="W14" s="1"/>
      <c r="X14" s="1"/>
      <c r="Y14" s="1"/>
      <c r="Z14" s="1"/>
    </row>
    <row r="15" customFormat="false" ht="16.5" hidden="false" customHeight="true" outlineLevel="0" collapsed="false">
      <c r="C15" s="35" t="n">
        <f aca="false">IF(E15="","",ROW()-5)</f>
        <v>10</v>
      </c>
      <c r="D15" s="38" t="s">
        <v>94</v>
      </c>
      <c r="E15" s="45" t="s">
        <v>95</v>
      </c>
      <c r="F15" s="38" t="s">
        <v>25</v>
      </c>
      <c r="G15" s="39" t="s">
        <v>73</v>
      </c>
      <c r="H15" s="38" t="n">
        <f aca="true">IFERROR(IF(ISNUMBER(G15),G15-TODAY(),DATE(VALUE(RIGHT(G15,4)),VALUE(MID(G15,4,2)),VALUE(LEFT(G15,2)))-TODAY()),"—")</f>
        <v>181</v>
      </c>
      <c r="I15" s="46"/>
      <c r="R15" s="1" t="n">
        <v>1</v>
      </c>
      <c r="S15" s="1"/>
      <c r="T15" s="1"/>
      <c r="U15" s="1"/>
      <c r="V15" s="1"/>
      <c r="W15" s="1"/>
      <c r="X15" s="1"/>
      <c r="Y15" s="1"/>
      <c r="Z15" s="1"/>
    </row>
    <row r="16" customFormat="false" ht="16.5" hidden="false" customHeight="true" outlineLevel="0" collapsed="false">
      <c r="C16" s="35" t="n">
        <f aca="false">IF(E16="","",ROW()-5)</f>
        <v>11</v>
      </c>
      <c r="D16" s="35" t="s">
        <v>96</v>
      </c>
      <c r="E16" s="43" t="s">
        <v>97</v>
      </c>
      <c r="F16" s="36" t="s">
        <v>25</v>
      </c>
      <c r="G16" s="37" t="s">
        <v>98</v>
      </c>
      <c r="H16" s="36" t="n">
        <f aca="true">IFERROR(IF(ISNUMBER(G16),G16-TODAY(),DATE(VALUE(RIGHT(G16,4)),VALUE(MID(G16,4,2)),VALUE(LEFT(G16,2)))-TODAY()),"—")</f>
        <v>221</v>
      </c>
      <c r="I16" s="44"/>
      <c r="S16" s="1"/>
      <c r="T16" s="1"/>
      <c r="U16" s="1"/>
      <c r="V16" s="1"/>
      <c r="W16" s="1"/>
      <c r="X16" s="1"/>
      <c r="Y16" s="1"/>
      <c r="Z16" s="1"/>
    </row>
    <row r="17" customFormat="false" ht="16.5" hidden="false" customHeight="true" outlineLevel="0" collapsed="false">
      <c r="C17" s="35" t="n">
        <f aca="false">IF(E17="","",ROW()-5)</f>
        <v>12</v>
      </c>
      <c r="D17" s="38" t="s">
        <v>99</v>
      </c>
      <c r="E17" s="45" t="s">
        <v>100</v>
      </c>
      <c r="F17" s="38" t="s">
        <v>25</v>
      </c>
      <c r="G17" s="39" t="s">
        <v>101</v>
      </c>
      <c r="H17" s="38" t="n">
        <f aca="true">IFERROR(IF(ISNUMBER(G17),G17-TODAY(),DATE(VALUE(RIGHT(G17,4)),VALUE(MID(G17,4,2)),VALUE(LEFT(G17,2)))-TODAY()),"—")</f>
        <v>120</v>
      </c>
      <c r="I17" s="46" t="s">
        <v>93</v>
      </c>
      <c r="S17" s="1"/>
      <c r="T17" s="1"/>
      <c r="U17" s="1"/>
      <c r="V17" s="1"/>
      <c r="W17" s="1"/>
      <c r="X17" s="1"/>
      <c r="Y17" s="1"/>
      <c r="Z17" s="1"/>
    </row>
    <row r="18" customFormat="false" ht="16.5" hidden="false" customHeight="true" outlineLevel="0" collapsed="false">
      <c r="C18" s="35" t="n">
        <f aca="false">IF(E18="","",ROW()-5)</f>
        <v>13</v>
      </c>
      <c r="D18" s="35" t="s">
        <v>102</v>
      </c>
      <c r="E18" s="43" t="s">
        <v>103</v>
      </c>
      <c r="F18" s="36" t="s">
        <v>25</v>
      </c>
      <c r="G18" s="37" t="s">
        <v>73</v>
      </c>
      <c r="H18" s="36" t="n">
        <f aca="true">IFERROR(IF(ISNUMBER(G18),G18-TODAY(),DATE(VALUE(RIGHT(G18,4)),VALUE(MID(G18,4,2)),VALUE(LEFT(G18,2)))-TODAY()),"—")</f>
        <v>181</v>
      </c>
      <c r="I18" s="44"/>
      <c r="S18" s="1"/>
      <c r="T18" s="1"/>
      <c r="U18" s="1"/>
      <c r="V18" s="1"/>
      <c r="W18" s="1"/>
      <c r="X18" s="1"/>
      <c r="Y18" s="1"/>
      <c r="Z18" s="1"/>
    </row>
    <row r="19" customFormat="false" ht="16.5" hidden="false" customHeight="true" outlineLevel="0" collapsed="false">
      <c r="C19" s="35" t="n">
        <f aca="false">IF(E19="","",ROW()-5)</f>
        <v>14</v>
      </c>
      <c r="D19" s="38" t="s">
        <v>104</v>
      </c>
      <c r="E19" s="45" t="s">
        <v>105</v>
      </c>
      <c r="F19" s="38" t="s">
        <v>25</v>
      </c>
      <c r="G19" s="39" t="s">
        <v>34</v>
      </c>
      <c r="H19" s="38" t="n">
        <f aca="true">IFERROR(IF(ISNUMBER(G19),G19-TODAY(),DATE(VALUE(RIGHT(G19,4)),VALUE(MID(G19,4,2)),VALUE(LEFT(G19,2)))-TODAY()),"—")</f>
        <v>147</v>
      </c>
      <c r="I19" s="46"/>
      <c r="S19" s="1"/>
      <c r="T19" s="1"/>
      <c r="U19" s="1"/>
      <c r="V19" s="1"/>
      <c r="W19" s="1"/>
      <c r="X19" s="1"/>
      <c r="Y19" s="1"/>
      <c r="Z19" s="1"/>
    </row>
    <row r="20" customFormat="false" ht="16.5" hidden="false" customHeight="true" outlineLevel="0" collapsed="false">
      <c r="C20" s="35" t="n">
        <f aca="false">IF(E20="","",ROW()-5)</f>
        <v>15</v>
      </c>
      <c r="D20" s="35" t="s">
        <v>106</v>
      </c>
      <c r="E20" s="43" t="s">
        <v>107</v>
      </c>
      <c r="F20" s="36" t="s">
        <v>25</v>
      </c>
      <c r="G20" s="47" t="n">
        <v>46336</v>
      </c>
      <c r="H20" s="36" t="n">
        <f aca="true">IFERROR(IF(ISNUMBER(G20),G20-TODAY(),DATE(VALUE(RIGHT(G20,4)),VALUE(MID(G20,4,2)),VALUE(LEFT(G20,2)))-TODAY()),"—")</f>
        <v>67</v>
      </c>
      <c r="I20" s="44"/>
      <c r="S20" s="1"/>
      <c r="T20" s="1"/>
      <c r="U20" s="1"/>
      <c r="V20" s="1"/>
      <c r="W20" s="1"/>
      <c r="X20" s="1"/>
      <c r="Y20" s="1"/>
      <c r="Z20" s="1"/>
    </row>
    <row r="21" customFormat="false" ht="16.5" hidden="false" customHeight="true" outlineLevel="0" collapsed="false">
      <c r="C21" s="35" t="n">
        <f aca="false">IF(E21="","",ROW()-5)</f>
        <v>16</v>
      </c>
      <c r="D21" s="38" t="s">
        <v>108</v>
      </c>
      <c r="E21" s="45" t="s">
        <v>109</v>
      </c>
      <c r="F21" s="38" t="s">
        <v>25</v>
      </c>
      <c r="G21" s="39" t="s">
        <v>110</v>
      </c>
      <c r="H21" s="38" t="n">
        <f aca="true">IFERROR(IF(ISNUMBER(G21),G21-TODAY(),DATE(VALUE(RIGHT(G21,4)),VALUE(MID(G21,4,2)),VALUE(LEFT(G21,2)))-TODAY()),"—")</f>
        <v>-24</v>
      </c>
      <c r="I21" s="46"/>
      <c r="S21" s="1"/>
      <c r="T21" s="1"/>
      <c r="U21" s="1"/>
      <c r="V21" s="1"/>
      <c r="W21" s="1"/>
      <c r="X21" s="1"/>
      <c r="Y21" s="1"/>
      <c r="Z21" s="1"/>
    </row>
    <row r="22" customFormat="false" ht="15" hidden="false" customHeight="true" outlineLevel="0" collapsed="false">
      <c r="C22" s="35" t="n">
        <f aca="false">IF(E22="","",ROW()-5)</f>
        <v>17</v>
      </c>
      <c r="D22" s="35" t="s">
        <v>111</v>
      </c>
      <c r="E22" s="43" t="s">
        <v>112</v>
      </c>
      <c r="F22" s="36" t="s">
        <v>20</v>
      </c>
      <c r="G22" s="37"/>
      <c r="H22" s="36" t="str">
        <f aca="true">IFERROR(IF(ISNUMBER(G22),G22-TODAY(),DATE(VALUE(RIGHT(G22,4)),VALUE(MID(G22,4,2)),VALUE(LEFT(G22,2)))-TODAY()),"—")</f>
        <v>—</v>
      </c>
      <c r="I22" s="44" t="s">
        <v>113</v>
      </c>
      <c r="S22" s="1"/>
      <c r="T22" s="1"/>
      <c r="U22" s="1"/>
      <c r="V22" s="1"/>
      <c r="W22" s="1"/>
      <c r="X22" s="1"/>
      <c r="Y22" s="1"/>
      <c r="Z22" s="1"/>
    </row>
    <row r="23" customFormat="false" ht="16.5" hidden="false" customHeight="true" outlineLevel="0" collapsed="false">
      <c r="C23" s="35" t="n">
        <f aca="false">IF(E23="","",ROW()-5)</f>
        <v>18</v>
      </c>
      <c r="D23" s="38" t="s">
        <v>114</v>
      </c>
      <c r="E23" s="45" t="s">
        <v>115</v>
      </c>
      <c r="F23" s="38" t="s">
        <v>116</v>
      </c>
      <c r="G23" s="39"/>
      <c r="H23" s="38" t="str">
        <f aca="true">IFERROR(IF(ISNUMBER(G23),G23-TODAY(),DATE(VALUE(RIGHT(G23,4)),VALUE(MID(G23,4,2)),VALUE(LEFT(G23,2)))-TODAY()),"—")</f>
        <v>—</v>
      </c>
      <c r="I23" s="46" t="s">
        <v>117</v>
      </c>
      <c r="S23" s="1"/>
      <c r="T23" s="1"/>
      <c r="U23" s="1"/>
      <c r="V23" s="1"/>
      <c r="W23" s="1"/>
      <c r="X23" s="1"/>
      <c r="Y23" s="1"/>
      <c r="Z23" s="1"/>
    </row>
    <row r="24" customFormat="false" ht="16.5" hidden="false" customHeight="true" outlineLevel="0" collapsed="false">
      <c r="C24" s="35" t="n">
        <f aca="false">IF(E24="","",ROW()-5)</f>
        <v>19</v>
      </c>
      <c r="D24" s="35" t="s">
        <v>118</v>
      </c>
      <c r="E24" s="43" t="s">
        <v>119</v>
      </c>
      <c r="F24" s="36" t="s">
        <v>25</v>
      </c>
      <c r="G24" s="37" t="s">
        <v>48</v>
      </c>
      <c r="H24" s="36" t="n">
        <f aca="true">IFERROR(IF(ISNUMBER(G24),G24-TODAY(),DATE(VALUE(RIGHT(G24,4)),VALUE(MID(G24,4,2)),VALUE(LEFT(G24,2)))-TODAY()),"—")</f>
        <v>146</v>
      </c>
      <c r="I24" s="44" t="s">
        <v>93</v>
      </c>
      <c r="S24" s="1"/>
      <c r="T24" s="1"/>
      <c r="U24" s="1"/>
      <c r="V24" s="1"/>
      <c r="W24" s="1"/>
      <c r="X24" s="1"/>
      <c r="Y24" s="1"/>
      <c r="Z24" s="1"/>
    </row>
    <row r="25" customFormat="false" ht="16.5" hidden="false" customHeight="true" outlineLevel="0" collapsed="false">
      <c r="C25" s="35" t="n">
        <f aca="false">IF(E25="","",ROW()-5)</f>
        <v>20</v>
      </c>
      <c r="D25" s="38" t="s">
        <v>120</v>
      </c>
      <c r="E25" s="45" t="s">
        <v>121</v>
      </c>
      <c r="F25" s="38" t="s">
        <v>20</v>
      </c>
      <c r="G25" s="39"/>
      <c r="H25" s="38" t="str">
        <f aca="true">IFERROR(IF(ISNUMBER(G25),G25-TODAY(),DATE(VALUE(RIGHT(G25,4)),VALUE(MID(G25,4,2)),VALUE(LEFT(G25,2)))-TODAY()),"—")</f>
        <v>—</v>
      </c>
      <c r="I25" s="46" t="s">
        <v>122</v>
      </c>
      <c r="S25" s="1"/>
      <c r="T25" s="1"/>
      <c r="U25" s="1"/>
      <c r="V25" s="1"/>
      <c r="W25" s="1"/>
      <c r="X25" s="1"/>
      <c r="Y25" s="1"/>
      <c r="Z25" s="1"/>
    </row>
    <row r="26" customFormat="false" ht="16.5" hidden="false" customHeight="true" outlineLevel="0" collapsed="false">
      <c r="C26" s="35" t="n">
        <f aca="false">IF(E26="","",ROW()-5)</f>
        <v>21</v>
      </c>
      <c r="D26" s="35" t="s">
        <v>123</v>
      </c>
      <c r="E26" s="43" t="s">
        <v>124</v>
      </c>
      <c r="F26" s="36" t="s">
        <v>20</v>
      </c>
      <c r="G26" s="37"/>
      <c r="H26" s="36" t="str">
        <f aca="true">IFERROR(IF(ISNUMBER(G26),G26-TODAY(),DATE(VALUE(RIGHT(G26,4)),VALUE(MID(G26,4,2)),VALUE(LEFT(G26,2)))-TODAY()),"—")</f>
        <v>—</v>
      </c>
      <c r="I26" s="44"/>
      <c r="S26" s="1"/>
      <c r="T26" s="1"/>
      <c r="U26" s="1"/>
      <c r="V26" s="1"/>
      <c r="W26" s="1"/>
      <c r="X26" s="1"/>
      <c r="Y26" s="1"/>
      <c r="Z26" s="1"/>
    </row>
    <row r="27" customFormat="false" ht="16.5" hidden="false" customHeight="true" outlineLevel="0" collapsed="false">
      <c r="C27" s="35" t="n">
        <f aca="false">IF(E27="","",ROW()-5)</f>
        <v>22</v>
      </c>
      <c r="D27" s="38" t="s">
        <v>125</v>
      </c>
      <c r="E27" s="45" t="s">
        <v>126</v>
      </c>
      <c r="F27" s="38" t="s">
        <v>25</v>
      </c>
      <c r="G27" s="39" t="s">
        <v>44</v>
      </c>
      <c r="H27" s="38" t="n">
        <f aca="true">IFERROR(IF(ISNUMBER(G27),G27-TODAY(),DATE(VALUE(RIGHT(G27,4)),VALUE(MID(G27,4,2)),VALUE(LEFT(G27,2)))-TODAY()),"—")</f>
        <v>130</v>
      </c>
      <c r="I27" s="46" t="s">
        <v>127</v>
      </c>
      <c r="S27" s="1"/>
      <c r="T27" s="1"/>
      <c r="U27" s="1"/>
      <c r="V27" s="1"/>
      <c r="W27" s="1"/>
      <c r="X27" s="1"/>
      <c r="Y27" s="1"/>
      <c r="Z27" s="1"/>
    </row>
    <row r="28" customFormat="false" ht="16.5" hidden="false" customHeight="true" outlineLevel="0" collapsed="false">
      <c r="C28" s="35" t="n">
        <f aca="false">IF(E28="","",ROW()-5)</f>
        <v>23</v>
      </c>
      <c r="D28" s="35" t="s">
        <v>128</v>
      </c>
      <c r="E28" s="43" t="s">
        <v>129</v>
      </c>
      <c r="F28" s="36" t="s">
        <v>25</v>
      </c>
      <c r="G28" s="37" t="s">
        <v>130</v>
      </c>
      <c r="H28" s="36" t="n">
        <f aca="true">IFERROR(IF(ISNUMBER(G28),G28-TODAY(),DATE(VALUE(RIGHT(G28,4)),VALUE(MID(G28,4,2)),VALUE(LEFT(G28,2)))-TODAY()),"—")</f>
        <v>212</v>
      </c>
      <c r="I28" s="44"/>
      <c r="S28" s="1"/>
      <c r="T28" s="1"/>
      <c r="U28" s="1"/>
      <c r="V28" s="1"/>
      <c r="W28" s="1"/>
      <c r="X28" s="1"/>
      <c r="Y28" s="1"/>
      <c r="Z28" s="1"/>
    </row>
    <row r="29" customFormat="false" ht="16.5" hidden="false" customHeight="true" outlineLevel="0" collapsed="false">
      <c r="C29" s="35" t="n">
        <f aca="false">IF(E29="","",ROW()-5)</f>
        <v>24</v>
      </c>
      <c r="D29" s="38" t="s">
        <v>131</v>
      </c>
      <c r="E29" s="45" t="s">
        <v>132</v>
      </c>
      <c r="F29" s="38" t="s">
        <v>25</v>
      </c>
      <c r="G29" s="39" t="s">
        <v>85</v>
      </c>
      <c r="H29" s="38" t="n">
        <f aca="true">IFERROR(IF(ISNUMBER(G29),G29-TODAY(),DATE(VALUE(RIGHT(G29,4)),VALUE(MID(G29,4,2)),VALUE(LEFT(G29,2)))-TODAY()),"—")</f>
        <v>103</v>
      </c>
      <c r="I29" s="46"/>
      <c r="S29" s="1"/>
      <c r="T29" s="1"/>
      <c r="U29" s="1"/>
      <c r="V29" s="1"/>
      <c r="W29" s="1"/>
      <c r="X29" s="1"/>
      <c r="Y29" s="1"/>
      <c r="Z29" s="1"/>
    </row>
    <row r="30" customFormat="false" ht="16.5" hidden="false" customHeight="true" outlineLevel="0" collapsed="false">
      <c r="C30" s="35" t="n">
        <f aca="false">IF(E30="","",ROW()-5)</f>
        <v>25</v>
      </c>
      <c r="D30" s="35" t="s">
        <v>133</v>
      </c>
      <c r="E30" s="43" t="s">
        <v>134</v>
      </c>
      <c r="F30" s="36" t="s">
        <v>25</v>
      </c>
      <c r="G30" s="37" t="s">
        <v>92</v>
      </c>
      <c r="H30" s="36" t="n">
        <f aca="true">IFERROR(IF(ISNUMBER(G30),G30-TODAY(),DATE(VALUE(RIGHT(G30,4)),VALUE(MID(G30,4,2)),VALUE(LEFT(G30,2)))-TODAY()),"—")</f>
        <v>123</v>
      </c>
      <c r="I30" s="44" t="s">
        <v>93</v>
      </c>
      <c r="S30" s="1"/>
      <c r="T30" s="1"/>
      <c r="U30" s="1"/>
      <c r="V30" s="1"/>
      <c r="W30" s="1"/>
      <c r="X30" s="1"/>
      <c r="Y30" s="1"/>
      <c r="Z30" s="1"/>
    </row>
    <row r="31" customFormat="false" ht="16.5" hidden="false" customHeight="true" outlineLevel="0" collapsed="false">
      <c r="C31" s="35" t="n">
        <f aca="false">IF(E31="","",ROW()-5)</f>
        <v>26</v>
      </c>
      <c r="D31" s="38" t="s">
        <v>135</v>
      </c>
      <c r="E31" s="45" t="s">
        <v>136</v>
      </c>
      <c r="F31" s="38" t="s">
        <v>25</v>
      </c>
      <c r="G31" s="39" t="s">
        <v>44</v>
      </c>
      <c r="H31" s="38" t="n">
        <f aca="true">IFERROR(IF(ISNUMBER(G31),G31-TODAY(),DATE(VALUE(RIGHT(G31,4)),VALUE(MID(G31,4,2)),VALUE(LEFT(G31,2)))-TODAY()),"—")</f>
        <v>130</v>
      </c>
      <c r="I31" s="46" t="s">
        <v>127</v>
      </c>
      <c r="S31" s="1"/>
      <c r="T31" s="1"/>
      <c r="U31" s="1"/>
      <c r="V31" s="1"/>
      <c r="W31" s="1"/>
      <c r="X31" s="1"/>
      <c r="Y31" s="1"/>
      <c r="Z31" s="1"/>
    </row>
    <row r="32" customFormat="false" ht="16.5" hidden="false" customHeight="true" outlineLevel="0" collapsed="false">
      <c r="C32" s="35" t="n">
        <f aca="false">IF(E32="","",ROW()-5)</f>
        <v>27</v>
      </c>
      <c r="D32" s="35" t="s">
        <v>137</v>
      </c>
      <c r="E32" s="43" t="s">
        <v>138</v>
      </c>
      <c r="F32" s="36" t="s">
        <v>20</v>
      </c>
      <c r="G32" s="37"/>
      <c r="H32" s="36" t="str">
        <f aca="true">IFERROR(IF(ISNUMBER(G32),G32-TODAY(),DATE(VALUE(RIGHT(G32,4)),VALUE(MID(G32,4,2)),VALUE(LEFT(G32,2)))-TODAY()),"—")</f>
        <v>—</v>
      </c>
      <c r="I32" s="44"/>
      <c r="S32" s="1"/>
      <c r="T32" s="1"/>
      <c r="U32" s="1"/>
      <c r="V32" s="1"/>
      <c r="W32" s="1"/>
      <c r="X32" s="1"/>
      <c r="Y32" s="1"/>
      <c r="Z32" s="1"/>
    </row>
    <row r="33" customFormat="false" ht="16.5" hidden="false" customHeight="true" outlineLevel="0" collapsed="false">
      <c r="C33" s="35" t="n">
        <f aca="false">IF(E33="","",ROW()-5)</f>
        <v>28</v>
      </c>
      <c r="D33" s="38" t="s">
        <v>139</v>
      </c>
      <c r="E33" s="45" t="s">
        <v>140</v>
      </c>
      <c r="F33" s="38" t="s">
        <v>25</v>
      </c>
      <c r="G33" s="39" t="s">
        <v>141</v>
      </c>
      <c r="H33" s="38" t="n">
        <f aca="true">IFERROR(IF(ISNUMBER(G33),G33-TODAY(),DATE(VALUE(RIGHT(G33,4)),VALUE(MID(G33,4,2)),VALUE(LEFT(G33,2)))-TODAY()),"—")</f>
        <v>348</v>
      </c>
      <c r="I33" s="46"/>
      <c r="S33" s="1"/>
      <c r="T33" s="1"/>
      <c r="U33" s="1"/>
      <c r="V33" s="1"/>
      <c r="W33" s="1"/>
      <c r="X33" s="1"/>
      <c r="Y33" s="1"/>
      <c r="Z33" s="1"/>
    </row>
    <row r="34" customFormat="false" ht="16.5" hidden="false" customHeight="true" outlineLevel="0" collapsed="false">
      <c r="C34" s="35" t="n">
        <f aca="false">IF(E34="","",ROW()-5)</f>
        <v>29</v>
      </c>
      <c r="D34" s="35" t="s">
        <v>142</v>
      </c>
      <c r="E34" s="43" t="s">
        <v>143</v>
      </c>
      <c r="F34" s="36" t="s">
        <v>25</v>
      </c>
      <c r="G34" s="37" t="s">
        <v>85</v>
      </c>
      <c r="H34" s="36" t="n">
        <f aca="true">IFERROR(IF(ISNUMBER(G34),G34-TODAY(),DATE(VALUE(RIGHT(G34,4)),VALUE(MID(G34,4,2)),VALUE(LEFT(G34,2)))-TODAY()),"—")</f>
        <v>103</v>
      </c>
      <c r="I34" s="44"/>
      <c r="S34" s="1"/>
      <c r="T34" s="1"/>
      <c r="U34" s="1"/>
      <c r="V34" s="1"/>
      <c r="W34" s="1"/>
      <c r="X34" s="1"/>
      <c r="Y34" s="1"/>
      <c r="Z34" s="1"/>
    </row>
    <row r="35" customFormat="false" ht="16.5" hidden="false" customHeight="true" outlineLevel="0" collapsed="false">
      <c r="C35" s="35" t="n">
        <f aca="false">IF(E35="","",ROW()-5)</f>
        <v>30</v>
      </c>
      <c r="D35" s="38" t="s">
        <v>144</v>
      </c>
      <c r="E35" s="45" t="s">
        <v>145</v>
      </c>
      <c r="F35" s="38" t="s">
        <v>25</v>
      </c>
      <c r="G35" s="39" t="s">
        <v>85</v>
      </c>
      <c r="H35" s="38" t="n">
        <f aca="true">IFERROR(IF(ISNUMBER(G35),G35-TODAY(),DATE(VALUE(RIGHT(G35,4)),VALUE(MID(G35,4,2)),VALUE(LEFT(G35,2)))-TODAY()),"—")</f>
        <v>103</v>
      </c>
      <c r="I35" s="46"/>
      <c r="S35" s="1"/>
      <c r="T35" s="1"/>
      <c r="U35" s="1"/>
      <c r="V35" s="1"/>
      <c r="W35" s="1"/>
      <c r="X35" s="1"/>
      <c r="Y35" s="1"/>
      <c r="Z35" s="1"/>
    </row>
    <row r="36" customFormat="false" ht="16.5" hidden="false" customHeight="true" outlineLevel="0" collapsed="false">
      <c r="C36" s="35" t="n">
        <f aca="false">IF(E36="","",ROW()-5)</f>
        <v>31</v>
      </c>
      <c r="D36" s="35" t="s">
        <v>146</v>
      </c>
      <c r="E36" s="43" t="s">
        <v>147</v>
      </c>
      <c r="F36" s="36" t="s">
        <v>20</v>
      </c>
      <c r="G36" s="37"/>
      <c r="H36" s="36" t="str">
        <f aca="true">IFERROR(IF(ISNUMBER(G36),G36-TODAY(),DATE(VALUE(RIGHT(G36,4)),VALUE(MID(G36,4,2)),VALUE(LEFT(G36,2)))-TODAY()),"—")</f>
        <v>—</v>
      </c>
      <c r="I36" s="44"/>
      <c r="S36" s="1"/>
      <c r="T36" s="1"/>
      <c r="U36" s="1"/>
      <c r="V36" s="1"/>
      <c r="W36" s="1"/>
      <c r="X36" s="1"/>
      <c r="Y36" s="1"/>
      <c r="Z36" s="1"/>
    </row>
    <row r="37" customFormat="false" ht="16.5" hidden="false" customHeight="true" outlineLevel="0" collapsed="false">
      <c r="C37" s="35" t="n">
        <f aca="false">IF(E37="","",ROW()-5)</f>
        <v>32</v>
      </c>
      <c r="D37" s="38" t="s">
        <v>148</v>
      </c>
      <c r="E37" s="45" t="s">
        <v>149</v>
      </c>
      <c r="F37" s="38" t="s">
        <v>25</v>
      </c>
      <c r="G37" s="39" t="s">
        <v>150</v>
      </c>
      <c r="H37" s="38" t="n">
        <f aca="true">IFERROR(IF(ISNUMBER(G37),G37-TODAY(),DATE(VALUE(RIGHT(G37,4)),VALUE(MID(G37,4,2)),VALUE(LEFT(G37,2)))-TODAY()),"—")</f>
        <v>45</v>
      </c>
      <c r="I37" s="46"/>
      <c r="S37" s="1"/>
      <c r="T37" s="1"/>
      <c r="U37" s="1"/>
      <c r="V37" s="1"/>
      <c r="W37" s="1"/>
      <c r="X37" s="1"/>
      <c r="Y37" s="1"/>
      <c r="Z37" s="1"/>
    </row>
    <row r="38" customFormat="false" ht="16.5" hidden="false" customHeight="true" outlineLevel="0" collapsed="false">
      <c r="C38" s="35" t="n">
        <f aca="false">IF(E38="","",ROW()-5)</f>
        <v>33</v>
      </c>
      <c r="D38" s="35" t="s">
        <v>151</v>
      </c>
      <c r="E38" s="43" t="s">
        <v>152</v>
      </c>
      <c r="F38" s="36" t="s">
        <v>25</v>
      </c>
      <c r="G38" s="37" t="s">
        <v>153</v>
      </c>
      <c r="H38" s="36" t="n">
        <f aca="true">IFERROR(IF(ISNUMBER(G38),G38-TODAY(),DATE(VALUE(RIGHT(G38,4)),VALUE(MID(G38,4,2)),VALUE(LEFT(G38,2)))-TODAY()),"—")</f>
        <v>166</v>
      </c>
      <c r="I38" s="44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C39" s="35" t="n">
        <f aca="false">IF(E39="","",ROW()-5)</f>
        <v>34</v>
      </c>
      <c r="D39" s="38" t="s">
        <v>154</v>
      </c>
      <c r="E39" s="45" t="s">
        <v>155</v>
      </c>
      <c r="F39" s="38" t="s">
        <v>25</v>
      </c>
      <c r="G39" s="39" t="s">
        <v>156</v>
      </c>
      <c r="H39" s="38" t="n">
        <f aca="true">IFERROR(IF(ISNUMBER(G39),G39-TODAY(),DATE(VALUE(RIGHT(G39,4)),VALUE(MID(G39,4,2)),VALUE(LEFT(G39,2)))-TODAY()),"—")</f>
        <v>6</v>
      </c>
      <c r="I39" s="46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C40" s="35" t="n">
        <f aca="false">IF(E40="","",ROW()-5)</f>
        <v>35</v>
      </c>
      <c r="D40" s="35" t="s">
        <v>157</v>
      </c>
      <c r="E40" s="43" t="s">
        <v>158</v>
      </c>
      <c r="F40" s="36" t="s">
        <v>20</v>
      </c>
      <c r="G40" s="37"/>
      <c r="H40" s="36" t="str">
        <f aca="true">IFERROR(IF(ISNUMBER(G40),G40-TODAY(),DATE(VALUE(RIGHT(G40,4)),VALUE(MID(G40,4,2)),VALUE(LEFT(G40,2)))-TODAY()),"—")</f>
        <v>—</v>
      </c>
      <c r="I40" s="44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C41" s="35" t="n">
        <f aca="false">IF(E41="","",ROW()-5)</f>
        <v>36</v>
      </c>
      <c r="D41" s="38" t="s">
        <v>159</v>
      </c>
      <c r="E41" s="45" t="s">
        <v>160</v>
      </c>
      <c r="F41" s="38" t="s">
        <v>25</v>
      </c>
      <c r="G41" s="39" t="s">
        <v>161</v>
      </c>
      <c r="H41" s="38" t="n">
        <f aca="true">IFERROR(IF(ISNUMBER(G41),G41-TODAY(),DATE(VALUE(RIGHT(G41,4)),VALUE(MID(G41,4,2)),VALUE(LEFT(G41,2)))-TODAY()),"—")</f>
        <v>-37</v>
      </c>
      <c r="I41" s="46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C42" s="35" t="n">
        <f aca="false">IF(E42="","",ROW()-5)</f>
        <v>37</v>
      </c>
      <c r="D42" s="35" t="s">
        <v>162</v>
      </c>
      <c r="E42" s="43" t="s">
        <v>163</v>
      </c>
      <c r="F42" s="36" t="s">
        <v>20</v>
      </c>
      <c r="G42" s="37"/>
      <c r="H42" s="36" t="str">
        <f aca="true">IFERROR(IF(ISNUMBER(G42),G42-TODAY(),DATE(VALUE(RIGHT(G42,4)),VALUE(MID(G42,4,2)),VALUE(LEFT(G42,2)))-TODAY()),"—")</f>
        <v>—</v>
      </c>
      <c r="I42" s="44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C43" s="35" t="n">
        <f aca="false">IF(E43="","",ROW()-5)</f>
        <v>38</v>
      </c>
      <c r="D43" s="38" t="s">
        <v>164</v>
      </c>
      <c r="E43" s="45" t="s">
        <v>165</v>
      </c>
      <c r="F43" s="38" t="s">
        <v>25</v>
      </c>
      <c r="G43" s="39" t="s">
        <v>150</v>
      </c>
      <c r="H43" s="38" t="n">
        <f aca="true">IFERROR(IF(ISNUMBER(G43),G43-TODAY(),DATE(VALUE(RIGHT(G43,4)),VALUE(MID(G43,4,2)),VALUE(LEFT(G43,2)))-TODAY()),"—")</f>
        <v>45</v>
      </c>
      <c r="I43" s="46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C44" s="35" t="n">
        <f aca="false">IF(E44="","",ROW()-5)</f>
        <v>39</v>
      </c>
      <c r="D44" s="35" t="s">
        <v>166</v>
      </c>
      <c r="E44" s="43" t="s">
        <v>167</v>
      </c>
      <c r="F44" s="36" t="s">
        <v>25</v>
      </c>
      <c r="G44" s="37" t="s">
        <v>30</v>
      </c>
      <c r="H44" s="36" t="n">
        <f aca="true">IFERROR(IF(ISNUMBER(G44),G44-TODAY(),DATE(VALUE(RIGHT(G44,4)),VALUE(MID(G44,4,2)),VALUE(LEFT(G44,2)))-TODAY()),"—")</f>
        <v>175</v>
      </c>
      <c r="I44" s="44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C45" s="35" t="n">
        <f aca="false">IF(E45="","",ROW()-5)</f>
        <v>40</v>
      </c>
      <c r="D45" s="38" t="s">
        <v>168</v>
      </c>
      <c r="E45" s="45" t="s">
        <v>169</v>
      </c>
      <c r="F45" s="38" t="s">
        <v>51</v>
      </c>
      <c r="G45" s="39"/>
      <c r="H45" s="38" t="str">
        <f aca="true">IFERROR(IF(ISNUMBER(G45),G45-TODAY(),DATE(VALUE(RIGHT(G45,4)),VALUE(MID(G45,4,2)),VALUE(LEFT(G45,2)))-TODAY()),"—")</f>
        <v>—</v>
      </c>
      <c r="I45" s="46" t="s">
        <v>170</v>
      </c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C46" s="35" t="n">
        <f aca="false">IF(E46="","",ROW()-5)</f>
        <v>41</v>
      </c>
      <c r="D46" s="35" t="s">
        <v>171</v>
      </c>
      <c r="E46" s="43" t="s">
        <v>172</v>
      </c>
      <c r="F46" s="36" t="s">
        <v>25</v>
      </c>
      <c r="G46" s="37" t="s">
        <v>42</v>
      </c>
      <c r="H46" s="36" t="n">
        <f aca="true">IFERROR(IF(ISNUMBER(G46),G46-TODAY(),DATE(VALUE(RIGHT(G46,4)),VALUE(MID(G46,4,2)),VALUE(LEFT(G46,2)))-TODAY()),"—")</f>
        <v>131</v>
      </c>
      <c r="I46" s="44" t="s">
        <v>173</v>
      </c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C47" s="35" t="n">
        <f aca="false">IF(E47="","",ROW()-5)</f>
        <v>42</v>
      </c>
      <c r="D47" s="38" t="s">
        <v>174</v>
      </c>
      <c r="E47" s="45" t="s">
        <v>175</v>
      </c>
      <c r="F47" s="38" t="s">
        <v>25</v>
      </c>
      <c r="G47" s="39" t="s">
        <v>48</v>
      </c>
      <c r="H47" s="38" t="n">
        <f aca="true">IFERROR(IF(ISNUMBER(G47),G47-TODAY(),DATE(VALUE(RIGHT(G47,4)),VALUE(MID(G47,4,2)),VALUE(LEFT(G47,2)))-TODAY()),"—")</f>
        <v>146</v>
      </c>
      <c r="I47" s="46" t="s">
        <v>173</v>
      </c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C48" s="35" t="n">
        <f aca="false">IF(E48="","",ROW()-5)</f>
        <v>43</v>
      </c>
      <c r="D48" s="35" t="s">
        <v>176</v>
      </c>
      <c r="E48" s="43" t="s">
        <v>177</v>
      </c>
      <c r="F48" s="36" t="s">
        <v>25</v>
      </c>
      <c r="G48" s="37" t="s">
        <v>42</v>
      </c>
      <c r="H48" s="36" t="n">
        <f aca="true">IFERROR(IF(ISNUMBER(G48),G48-TODAY(),DATE(VALUE(RIGHT(G48,4)),VALUE(MID(G48,4,2)),VALUE(LEFT(G48,2)))-TODAY()),"—")</f>
        <v>131</v>
      </c>
      <c r="I48" s="44" t="s">
        <v>173</v>
      </c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C49" s="35" t="n">
        <f aca="false">IF(E49="","",ROW()-5)</f>
        <v>44</v>
      </c>
      <c r="D49" s="38" t="s">
        <v>178</v>
      </c>
      <c r="E49" s="45" t="s">
        <v>179</v>
      </c>
      <c r="F49" s="38" t="s">
        <v>25</v>
      </c>
      <c r="G49" s="39" t="s">
        <v>42</v>
      </c>
      <c r="H49" s="38" t="n">
        <f aca="true">IFERROR(IF(ISNUMBER(G49),G49-TODAY(),DATE(VALUE(RIGHT(G49,4)),VALUE(MID(G49,4,2)),VALUE(LEFT(G49,2)))-TODAY()),"—")</f>
        <v>131</v>
      </c>
      <c r="I49" s="46" t="s">
        <v>173</v>
      </c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C50" s="35" t="n">
        <f aca="false">IF(E50="","",ROW()-5)</f>
        <v>45</v>
      </c>
      <c r="D50" s="35" t="s">
        <v>180</v>
      </c>
      <c r="E50" s="43" t="s">
        <v>181</v>
      </c>
      <c r="F50" s="36" t="s">
        <v>25</v>
      </c>
      <c r="G50" s="37" t="s">
        <v>42</v>
      </c>
      <c r="H50" s="36" t="n">
        <f aca="true">IFERROR(IF(ISNUMBER(G50),G50-TODAY(),DATE(VALUE(RIGHT(G50,4)),VALUE(MID(G50,4,2)),VALUE(LEFT(G50,2)))-TODAY()),"—")</f>
        <v>131</v>
      </c>
      <c r="I50" s="44" t="s">
        <v>182</v>
      </c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C51" s="35" t="n">
        <f aca="false">IF(E51="","",ROW()-5)</f>
        <v>46</v>
      </c>
      <c r="D51" s="38" t="s">
        <v>183</v>
      </c>
      <c r="E51" s="45" t="s">
        <v>184</v>
      </c>
      <c r="F51" s="38" t="s">
        <v>25</v>
      </c>
      <c r="G51" s="39" t="s">
        <v>185</v>
      </c>
      <c r="H51" s="38" t="n">
        <f aca="true">IFERROR(IF(ISNUMBER(G51),G51-TODAY(),DATE(VALUE(RIGHT(G51,4)),VALUE(MID(G51,4,2)),VALUE(LEFT(G51,2)))-TODAY()),"—")</f>
        <v>127</v>
      </c>
      <c r="I51" s="46" t="s">
        <v>186</v>
      </c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C52" s="35" t="n">
        <f aca="false">IF(E52="","",ROW()-5)</f>
        <v>47</v>
      </c>
      <c r="D52" s="35" t="s">
        <v>187</v>
      </c>
      <c r="E52" s="43" t="s">
        <v>188</v>
      </c>
      <c r="F52" s="36" t="s">
        <v>25</v>
      </c>
      <c r="G52" s="37" t="s">
        <v>185</v>
      </c>
      <c r="H52" s="36" t="n">
        <f aca="true">IFERROR(IF(ISNUMBER(G52),G52-TODAY(),DATE(VALUE(RIGHT(G52,4)),VALUE(MID(G52,4,2)),VALUE(LEFT(G52,2)))-TODAY()),"—")</f>
        <v>127</v>
      </c>
      <c r="I52" s="44" t="s">
        <v>186</v>
      </c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C53" s="35" t="n">
        <f aca="false">IF(E53="","",ROW()-5)</f>
        <v>48</v>
      </c>
      <c r="D53" s="38" t="s">
        <v>189</v>
      </c>
      <c r="E53" s="45" t="s">
        <v>190</v>
      </c>
      <c r="F53" s="38" t="s">
        <v>25</v>
      </c>
      <c r="G53" s="39" t="n">
        <v>46393</v>
      </c>
      <c r="H53" s="38" t="n">
        <f aca="true">IFERROR(IF(ISNUMBER(G53),G53-TODAY(),DATE(VALUE(RIGHT(G53,4)),VALUE(MID(G53,4,2)),VALUE(LEFT(G53,2)))-TODAY()),"—")</f>
        <v>124</v>
      </c>
      <c r="I53" s="46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C54" s="35" t="n">
        <f aca="false">IF(E54="","",ROW()-5)</f>
        <v>49</v>
      </c>
      <c r="D54" s="35" t="s">
        <v>191</v>
      </c>
      <c r="E54" s="43" t="s">
        <v>192</v>
      </c>
      <c r="F54" s="36" t="s">
        <v>25</v>
      </c>
      <c r="G54" s="37" t="s">
        <v>42</v>
      </c>
      <c r="H54" s="36" t="n">
        <f aca="true">IFERROR(IF(ISNUMBER(G54),G54-TODAY(),DATE(VALUE(RIGHT(G54,4)),VALUE(MID(G54,4,2)),VALUE(LEFT(G54,2)))-TODAY()),"—")</f>
        <v>131</v>
      </c>
      <c r="I54" s="44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C55" s="35" t="n">
        <f aca="false">IF(E55="","",ROW()-5)</f>
        <v>50</v>
      </c>
      <c r="D55" s="38" t="s">
        <v>193</v>
      </c>
      <c r="E55" s="45" t="s">
        <v>194</v>
      </c>
      <c r="F55" s="38" t="s">
        <v>25</v>
      </c>
      <c r="G55" s="39" t="s">
        <v>42</v>
      </c>
      <c r="H55" s="38" t="n">
        <f aca="true">IFERROR(IF(ISNUMBER(G55),G55-TODAY(),DATE(VALUE(RIGHT(G55,4)),VALUE(MID(G55,4,2)),VALUE(LEFT(G55,2)))-TODAY()),"—")</f>
        <v>131</v>
      </c>
      <c r="I55" s="46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C56" s="35" t="n">
        <f aca="false">IF(E56="","",ROW()-5)</f>
        <v>51</v>
      </c>
      <c r="D56" s="35" t="s">
        <v>195</v>
      </c>
      <c r="E56" s="43" t="s">
        <v>196</v>
      </c>
      <c r="F56" s="36" t="s">
        <v>20</v>
      </c>
      <c r="G56" s="37"/>
      <c r="H56" s="36" t="str">
        <f aca="true">IFERROR(IF(ISNUMBER(G56),G56-TODAY(),DATE(VALUE(RIGHT(G56,4)),VALUE(MID(G56,4,2)),VALUE(LEFT(G56,2)))-TODAY()),"—")</f>
        <v>—</v>
      </c>
      <c r="I56" s="44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C57" s="35" t="n">
        <f aca="false">IF(E57="","",ROW()-5)</f>
        <v>52</v>
      </c>
      <c r="D57" s="38" t="s">
        <v>197</v>
      </c>
      <c r="E57" s="45" t="s">
        <v>198</v>
      </c>
      <c r="F57" s="38" t="s">
        <v>25</v>
      </c>
      <c r="G57" s="39" t="s">
        <v>48</v>
      </c>
      <c r="H57" s="38" t="n">
        <f aca="true">IFERROR(IF(ISNUMBER(G57),G57-TODAY(),DATE(VALUE(RIGHT(G57,4)),VALUE(MID(G57,4,2)),VALUE(LEFT(G57,2)))-TODAY()),"—")</f>
        <v>146</v>
      </c>
      <c r="I57" s="46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C58" s="35" t="n">
        <f aca="false">IF(E58="","",ROW()-5)</f>
        <v>53</v>
      </c>
      <c r="D58" s="35" t="s">
        <v>199</v>
      </c>
      <c r="E58" s="43" t="s">
        <v>200</v>
      </c>
      <c r="F58" s="36" t="s">
        <v>20</v>
      </c>
      <c r="G58" s="37"/>
      <c r="H58" s="36" t="str">
        <f aca="true">IFERROR(IF(ISNUMBER(G58),G58-TODAY(),DATE(VALUE(RIGHT(G58,4)),VALUE(MID(G58,4,2)),VALUE(LEFT(G58,2)))-TODAY()),"—")</f>
        <v>—</v>
      </c>
      <c r="I58" s="44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C59" s="35" t="n">
        <f aca="false">IF(E59="","",ROW()-5)</f>
        <v>54</v>
      </c>
      <c r="D59" s="38" t="s">
        <v>201</v>
      </c>
      <c r="E59" s="45" t="s">
        <v>202</v>
      </c>
      <c r="F59" s="38" t="s">
        <v>25</v>
      </c>
      <c r="G59" s="39" t="s">
        <v>42</v>
      </c>
      <c r="H59" s="38" t="n">
        <f aca="true">IFERROR(IF(ISNUMBER(G59),G59-TODAY(),DATE(VALUE(RIGHT(G59,4)),VALUE(MID(G59,4,2)),VALUE(LEFT(G59,2)))-TODAY()),"—")</f>
        <v>131</v>
      </c>
      <c r="I59" s="46" t="s">
        <v>173</v>
      </c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C60" s="35" t="n">
        <f aca="false">IF(E60="","",ROW()-5)</f>
        <v>55</v>
      </c>
      <c r="D60" s="35" t="s">
        <v>203</v>
      </c>
      <c r="E60" s="43" t="s">
        <v>204</v>
      </c>
      <c r="F60" s="36" t="s">
        <v>25</v>
      </c>
      <c r="G60" s="37" t="s">
        <v>185</v>
      </c>
      <c r="H60" s="36" t="n">
        <f aca="true">IFERROR(IF(ISNUMBER(G60),G60-TODAY(),DATE(VALUE(RIGHT(G60,4)),VALUE(MID(G60,4,2)),VALUE(LEFT(G60,2)))-TODAY()),"—")</f>
        <v>127</v>
      </c>
      <c r="I60" s="44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C61" s="35" t="n">
        <f aca="false">IF(E61="","",ROW()-5)</f>
        <v>56</v>
      </c>
      <c r="D61" s="38" t="s">
        <v>205</v>
      </c>
      <c r="E61" s="45" t="s">
        <v>206</v>
      </c>
      <c r="F61" s="38" t="s">
        <v>25</v>
      </c>
      <c r="G61" s="39" t="s">
        <v>207</v>
      </c>
      <c r="H61" s="38" t="n">
        <f aca="true">IFERROR(IF(ISNUMBER(G61),G61-TODAY(),DATE(VALUE(RIGHT(G61,4)),VALUE(MID(G61,4,2)),VALUE(LEFT(G61,2)))-TODAY()),"—")</f>
        <v>133</v>
      </c>
      <c r="I61" s="46" t="s">
        <v>173</v>
      </c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C62" s="35" t="n">
        <f aca="false">IF(E62="","",ROW()-5)</f>
        <v>57</v>
      </c>
      <c r="D62" s="35" t="s">
        <v>208</v>
      </c>
      <c r="E62" s="43" t="s">
        <v>209</v>
      </c>
      <c r="F62" s="36" t="s">
        <v>210</v>
      </c>
      <c r="G62" s="37"/>
      <c r="H62" s="36" t="str">
        <f aca="true">IFERROR(IF(ISNUMBER(G62),G62-TODAY(),DATE(VALUE(RIGHT(G62,4)),VALUE(MID(G62,4,2)),VALUE(LEFT(G62,2)))-TODAY()),"—")</f>
        <v>—</v>
      </c>
      <c r="I62" s="44" t="s">
        <v>211</v>
      </c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C63" s="35" t="n">
        <f aca="false">IF(E63="","",ROW()-5)</f>
        <v>58</v>
      </c>
      <c r="D63" s="38" t="s">
        <v>212</v>
      </c>
      <c r="E63" s="45" t="s">
        <v>213</v>
      </c>
      <c r="F63" s="38" t="s">
        <v>25</v>
      </c>
      <c r="G63" s="39" t="s">
        <v>207</v>
      </c>
      <c r="H63" s="38" t="n">
        <f aca="true">IFERROR(IF(ISNUMBER(G63),G63-TODAY(),DATE(VALUE(RIGHT(G63,4)),VALUE(MID(G63,4,2)),VALUE(LEFT(G63,2)))-TODAY()),"—")</f>
        <v>133</v>
      </c>
      <c r="I63" s="46" t="s">
        <v>173</v>
      </c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C64" s="35" t="n">
        <f aca="false">IF(E64="","",ROW()-5)</f>
        <v>59</v>
      </c>
      <c r="D64" s="35" t="s">
        <v>214</v>
      </c>
      <c r="E64" s="43" t="s">
        <v>215</v>
      </c>
      <c r="F64" s="36" t="s">
        <v>116</v>
      </c>
      <c r="G64" s="37"/>
      <c r="H64" s="36" t="str">
        <f aca="true">IFERROR(IF(ISNUMBER(G64),G64-TODAY(),DATE(VALUE(RIGHT(G64,4)),VALUE(MID(G64,4,2)),VALUE(LEFT(G64,2)))-TODAY()),"—")</f>
        <v>—</v>
      </c>
      <c r="I64" s="44" t="s">
        <v>216</v>
      </c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C65" s="35" t="n">
        <f aca="false">IF(E65="","",ROW()-5)</f>
        <v>60</v>
      </c>
      <c r="D65" s="38" t="s">
        <v>217</v>
      </c>
      <c r="E65" s="45" t="s">
        <v>218</v>
      </c>
      <c r="F65" s="38" t="s">
        <v>25</v>
      </c>
      <c r="G65" s="39" t="s">
        <v>207</v>
      </c>
      <c r="H65" s="38" t="n">
        <f aca="true">IFERROR(IF(ISNUMBER(G65),G65-TODAY(),DATE(VALUE(RIGHT(G65,4)),VALUE(MID(G65,4,2)),VALUE(LEFT(G65,2)))-TODAY()),"—")</f>
        <v>133</v>
      </c>
      <c r="I65" s="46" t="s">
        <v>173</v>
      </c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C66" s="35" t="n">
        <f aca="false">IF(E66="","",ROW()-5)</f>
        <v>61</v>
      </c>
      <c r="D66" s="35" t="s">
        <v>219</v>
      </c>
      <c r="E66" s="43" t="s">
        <v>220</v>
      </c>
      <c r="F66" s="36" t="s">
        <v>25</v>
      </c>
      <c r="G66" s="35" t="s">
        <v>76</v>
      </c>
      <c r="H66" s="36" t="n">
        <f aca="true">IFERROR(IF(ISNUMBER(G66),G66-TODAY(),DATE(VALUE(RIGHT(G66,4)),VALUE(MID(G66,4,2)),VALUE(LEFT(G66,2)))-TODAY()),"—")</f>
        <v>132</v>
      </c>
      <c r="I66" s="44" t="s">
        <v>173</v>
      </c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C67" s="35" t="n">
        <f aca="false">IF(E67="","",ROW()-5)</f>
        <v>62</v>
      </c>
      <c r="D67" s="38" t="s">
        <v>221</v>
      </c>
      <c r="E67" s="45" t="s">
        <v>222</v>
      </c>
      <c r="F67" s="38" t="s">
        <v>25</v>
      </c>
      <c r="G67" s="38" t="s">
        <v>76</v>
      </c>
      <c r="H67" s="38" t="n">
        <f aca="true">IFERROR(IF(ISNUMBER(G67),G67-TODAY(),DATE(VALUE(RIGHT(G67,4)),VALUE(MID(G67,4,2)),VALUE(LEFT(G67,2)))-TODAY()),"—")</f>
        <v>132</v>
      </c>
      <c r="I67" s="46" t="s">
        <v>173</v>
      </c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C68" s="35" t="n">
        <f aca="false">IF(E68="","",ROW()-5)</f>
        <v>63</v>
      </c>
      <c r="D68" s="35" t="s">
        <v>223</v>
      </c>
      <c r="E68" s="43" t="s">
        <v>224</v>
      </c>
      <c r="F68" s="36" t="s">
        <v>20</v>
      </c>
      <c r="G68" s="35"/>
      <c r="H68" s="36" t="str">
        <f aca="true">IFERROR(IF(ISNUMBER(G68),G68-TODAY(),DATE(VALUE(RIGHT(G68,4)),VALUE(MID(G68,4,2)),VALUE(LEFT(G68,2)))-TODAY()),"—")</f>
        <v>—</v>
      </c>
      <c r="I68" s="44" t="s">
        <v>173</v>
      </c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C69" s="35" t="n">
        <f aca="false">IF(E69="","",ROW()-5)</f>
        <v>64</v>
      </c>
      <c r="D69" s="38" t="s">
        <v>225</v>
      </c>
      <c r="E69" s="45" t="s">
        <v>226</v>
      </c>
      <c r="F69" s="38" t="s">
        <v>25</v>
      </c>
      <c r="G69" s="48" t="n">
        <v>46406</v>
      </c>
      <c r="H69" s="38" t="n">
        <f aca="true">IFERROR(IF(ISNUMBER(G69),G69-TODAY(),DATE(VALUE(RIGHT(G69,4)),VALUE(MID(G69,4,2)),VALUE(LEFT(G69,2)))-TODAY()),"—")</f>
        <v>137</v>
      </c>
      <c r="I69" s="46" t="s">
        <v>227</v>
      </c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C70" s="35" t="n">
        <f aca="false">IF(E70="","",ROW()-5)</f>
        <v>65</v>
      </c>
      <c r="D70" s="35" t="s">
        <v>228</v>
      </c>
      <c r="E70" s="43" t="s">
        <v>229</v>
      </c>
      <c r="F70" s="36" t="s">
        <v>25</v>
      </c>
      <c r="G70" s="49" t="n">
        <v>46406</v>
      </c>
      <c r="H70" s="36" t="n">
        <f aca="true">IFERROR(IF(ISNUMBER(G70),G70-TODAY(),DATE(VALUE(RIGHT(G70,4)),VALUE(MID(G70,4,2)),VALUE(LEFT(G70,2)))-TODAY()),"—")</f>
        <v>137</v>
      </c>
      <c r="I70" s="44" t="s">
        <v>230</v>
      </c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C71" s="35" t="n">
        <f aca="false">IF(E71="","",ROW()-5)</f>
        <v>66</v>
      </c>
      <c r="D71" s="38" t="s">
        <v>231</v>
      </c>
      <c r="E71" s="45" t="s">
        <v>232</v>
      </c>
      <c r="F71" s="38" t="s">
        <v>25</v>
      </c>
      <c r="G71" s="50" t="n">
        <v>46406</v>
      </c>
      <c r="H71" s="38" t="n">
        <f aca="true">IFERROR(IF(ISNUMBER(G71),G71-TODAY(),DATE(VALUE(RIGHT(G71,4)),VALUE(MID(G71,4,2)),VALUE(LEFT(G71,2)))-TODAY()),"—")</f>
        <v>137</v>
      </c>
      <c r="I71" s="46" t="s">
        <v>227</v>
      </c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C72" s="35" t="n">
        <f aca="false">IF(E72="","",ROW()-5)</f>
        <v>67</v>
      </c>
      <c r="D72" s="35" t="s">
        <v>233</v>
      </c>
      <c r="E72" s="43" t="s">
        <v>234</v>
      </c>
      <c r="F72" s="36" t="s">
        <v>25</v>
      </c>
      <c r="G72" s="49" t="s">
        <v>235</v>
      </c>
      <c r="H72" s="36" t="n">
        <f aca="true">IFERROR(IF(ISNUMBER(G72),G72-TODAY(),DATE(VALUE(RIGHT(G72,4)),VALUE(MID(G72,4,2)),VALUE(LEFT(G72,2)))-TODAY()),"—")</f>
        <v>167</v>
      </c>
      <c r="I72" s="44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C73" s="35" t="n">
        <f aca="false">IF(E73="","",ROW()-5)</f>
        <v>68</v>
      </c>
      <c r="D73" s="38" t="s">
        <v>236</v>
      </c>
      <c r="E73" s="45" t="s">
        <v>237</v>
      </c>
      <c r="F73" s="38" t="s">
        <v>25</v>
      </c>
      <c r="G73" s="38" t="s">
        <v>238</v>
      </c>
      <c r="H73" s="38" t="n">
        <f aca="true">IFERROR(IF(ISNUMBER(G73),G73-TODAY(),DATE(VALUE(RIGHT(G73,4)),VALUE(MID(G73,4,2)),VALUE(LEFT(G73,2)))-TODAY()),"—")</f>
        <v>169</v>
      </c>
      <c r="I73" s="46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C74" s="35" t="n">
        <f aca="false">IF(E74="","",ROW()-5)</f>
        <v>69</v>
      </c>
      <c r="D74" s="35" t="s">
        <v>239</v>
      </c>
      <c r="E74" s="43" t="s">
        <v>240</v>
      </c>
      <c r="F74" s="36" t="s">
        <v>25</v>
      </c>
      <c r="G74" s="35" t="s">
        <v>241</v>
      </c>
      <c r="H74" s="36" t="n">
        <f aca="true">IFERROR(IF(ISNUMBER(G74),G74-TODAY(),DATE(VALUE(RIGHT(G74,4)),VALUE(MID(G74,4,2)),VALUE(LEFT(G74,2)))-TODAY()),"—")</f>
        <v>159</v>
      </c>
      <c r="I74" s="44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C75" s="35" t="n">
        <f aca="false">IF(E75="","",ROW()-5)</f>
        <v>70</v>
      </c>
      <c r="D75" s="38" t="s">
        <v>242</v>
      </c>
      <c r="E75" s="45" t="s">
        <v>243</v>
      </c>
      <c r="F75" s="38" t="s">
        <v>25</v>
      </c>
      <c r="G75" s="38" t="s">
        <v>241</v>
      </c>
      <c r="H75" s="38" t="n">
        <f aca="true">IFERROR(IF(ISNUMBER(G75),G75-TODAY(),DATE(VALUE(RIGHT(G75,4)),VALUE(MID(G75,4,2)),VALUE(LEFT(G75,2)))-TODAY()),"—")</f>
        <v>159</v>
      </c>
      <c r="I75" s="46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C76" s="35" t="n">
        <f aca="false">IF(E76="","",ROW()-5)</f>
        <v>71</v>
      </c>
      <c r="D76" s="35" t="s">
        <v>244</v>
      </c>
      <c r="E76" s="43" t="s">
        <v>245</v>
      </c>
      <c r="F76" s="36" t="s">
        <v>25</v>
      </c>
      <c r="G76" s="35" t="s">
        <v>241</v>
      </c>
      <c r="H76" s="36" t="n">
        <f aca="true">IFERROR(IF(ISNUMBER(G76),G76-TODAY(),DATE(VALUE(RIGHT(G76,4)),VALUE(MID(G76,4,2)),VALUE(LEFT(G76,2)))-TODAY()),"—")</f>
        <v>159</v>
      </c>
      <c r="I76" s="44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C77" s="35" t="n">
        <f aca="false">IF(E77="","",ROW()-5)</f>
        <v>72</v>
      </c>
      <c r="D77" s="38" t="s">
        <v>246</v>
      </c>
      <c r="E77" s="45" t="s">
        <v>247</v>
      </c>
      <c r="F77" s="38" t="s">
        <v>25</v>
      </c>
      <c r="G77" s="38" t="s">
        <v>248</v>
      </c>
      <c r="H77" s="38" t="n">
        <f aca="true">IFERROR(IF(ISNUMBER(G77),G77-TODAY(),DATE(VALUE(RIGHT(G77,4)),VALUE(MID(G77,4,2)),VALUE(LEFT(G77,2)))-TODAY()),"—")</f>
        <v>151</v>
      </c>
      <c r="I77" s="46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C78" s="35" t="n">
        <f aca="false">IF(E78="","",ROW()-5)</f>
        <v>73</v>
      </c>
      <c r="D78" s="35" t="s">
        <v>249</v>
      </c>
      <c r="E78" s="43" t="s">
        <v>250</v>
      </c>
      <c r="F78" s="36" t="s">
        <v>25</v>
      </c>
      <c r="G78" s="35" t="s">
        <v>34</v>
      </c>
      <c r="H78" s="36" t="n">
        <f aca="true">IFERROR(IF(ISNUMBER(G78),G78-TODAY(),DATE(VALUE(RIGHT(G78,4)),VALUE(MID(G78,4,2)),VALUE(LEFT(G78,2)))-TODAY()),"—")</f>
        <v>147</v>
      </c>
      <c r="I78" s="44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C79" s="35" t="n">
        <f aca="false">IF(E79="","",ROW()-5)</f>
        <v>74</v>
      </c>
      <c r="D79" s="38" t="s">
        <v>251</v>
      </c>
      <c r="E79" s="45" t="s">
        <v>252</v>
      </c>
      <c r="F79" s="38" t="s">
        <v>25</v>
      </c>
      <c r="G79" s="38" t="s">
        <v>48</v>
      </c>
      <c r="H79" s="38" t="n">
        <f aca="true">IFERROR(IF(ISNUMBER(G79),G79-TODAY(),DATE(VALUE(RIGHT(G79,4)),VALUE(MID(G79,4,2)),VALUE(LEFT(G79,2)))-TODAY()),"—")</f>
        <v>146</v>
      </c>
      <c r="I79" s="46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C80" s="35" t="n">
        <f aca="false">IF(E80="","",ROW()-5)</f>
        <v>75</v>
      </c>
      <c r="D80" s="35" t="s">
        <v>253</v>
      </c>
      <c r="E80" s="43" t="s">
        <v>254</v>
      </c>
      <c r="F80" s="36" t="s">
        <v>25</v>
      </c>
      <c r="G80" s="35" t="s">
        <v>48</v>
      </c>
      <c r="H80" s="36" t="n">
        <f aca="true">IFERROR(IF(ISNUMBER(G80),G80-TODAY(),DATE(VALUE(RIGHT(G80,4)),VALUE(MID(G80,4,2)),VALUE(LEFT(G80,2)))-TODAY()),"—")</f>
        <v>146</v>
      </c>
      <c r="I80" s="44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C81" s="35" t="n">
        <f aca="false">IF(E81="","",ROW()-5)</f>
        <v>76</v>
      </c>
      <c r="D81" s="38" t="s">
        <v>255</v>
      </c>
      <c r="E81" s="45" t="s">
        <v>256</v>
      </c>
      <c r="F81" s="38" t="s">
        <v>25</v>
      </c>
      <c r="G81" s="38" t="s">
        <v>257</v>
      </c>
      <c r="H81" s="38" t="n">
        <f aca="true">IFERROR(IF(ISNUMBER(G81),G81-TODAY(),DATE(VALUE(RIGHT(G81,4)),VALUE(MID(G81,4,2)),VALUE(LEFT(G81,2)))-TODAY()),"—")</f>
        <v>111</v>
      </c>
      <c r="I81" s="46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C82" s="35" t="n">
        <f aca="false">IF(E82="","",ROW()-5)</f>
        <v>77</v>
      </c>
      <c r="D82" s="35" t="s">
        <v>258</v>
      </c>
      <c r="E82" s="43" t="s">
        <v>259</v>
      </c>
      <c r="F82" s="36" t="s">
        <v>25</v>
      </c>
      <c r="G82" s="35" t="s">
        <v>260</v>
      </c>
      <c r="H82" s="36" t="n">
        <f aca="true">IFERROR(IF(ISNUMBER(G82),G82-TODAY(),DATE(VALUE(RIGHT(G82,4)),VALUE(MID(G82,4,2)),VALUE(LEFT(G82,2)))-TODAY()),"—")</f>
        <v>144</v>
      </c>
      <c r="I82" s="44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C83" s="35" t="n">
        <f aca="false">IF(E83="","",ROW()-5)</f>
        <v>78</v>
      </c>
      <c r="D83" s="38" t="s">
        <v>261</v>
      </c>
      <c r="E83" s="45" t="s">
        <v>262</v>
      </c>
      <c r="F83" s="38" t="s">
        <v>25</v>
      </c>
      <c r="G83" s="38" t="s">
        <v>260</v>
      </c>
      <c r="H83" s="38" t="n">
        <f aca="true">IFERROR(IF(ISNUMBER(G83),G83-TODAY(),DATE(VALUE(RIGHT(G83,4)),VALUE(MID(G83,4,2)),VALUE(LEFT(G83,2)))-TODAY()),"—")</f>
        <v>144</v>
      </c>
      <c r="I83" s="46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C84" s="35" t="n">
        <f aca="false">IF(E84="","",ROW()-5)</f>
        <v>79</v>
      </c>
      <c r="D84" s="35" t="s">
        <v>263</v>
      </c>
      <c r="E84" s="43" t="s">
        <v>264</v>
      </c>
      <c r="F84" s="36" t="s">
        <v>25</v>
      </c>
      <c r="G84" s="35" t="s">
        <v>265</v>
      </c>
      <c r="H84" s="36" t="n">
        <f aca="true">IFERROR(IF(ISNUMBER(G84),G84-TODAY(),DATE(VALUE(RIGHT(G84,4)),VALUE(MID(G84,4,2)),VALUE(LEFT(G84,2)))-TODAY()),"—")</f>
        <v>137</v>
      </c>
      <c r="I84" s="44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C85" s="35" t="n">
        <f aca="false">IF(E85="","",ROW()-5)</f>
        <v>80</v>
      </c>
      <c r="D85" s="38" t="s">
        <v>266</v>
      </c>
      <c r="E85" s="45" t="s">
        <v>267</v>
      </c>
      <c r="F85" s="38" t="s">
        <v>25</v>
      </c>
      <c r="G85" s="38" t="s">
        <v>57</v>
      </c>
      <c r="H85" s="38" t="n">
        <f aca="true">IFERROR(IF(ISNUMBER(G85),G85-TODAY(),DATE(VALUE(RIGHT(G85,4)),VALUE(MID(G85,4,2)),VALUE(LEFT(G85,2)))-TODAY()),"—")</f>
        <v>178</v>
      </c>
      <c r="I85" s="46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C86" s="35" t="n">
        <f aca="false">IF(E86="","",ROW()-5)</f>
        <v>81</v>
      </c>
      <c r="D86" s="35" t="s">
        <v>268</v>
      </c>
      <c r="E86" s="43" t="s">
        <v>269</v>
      </c>
      <c r="F86" s="36" t="s">
        <v>25</v>
      </c>
      <c r="G86" s="35" t="s">
        <v>57</v>
      </c>
      <c r="H86" s="36" t="n">
        <f aca="true">IFERROR(IF(ISNUMBER(G86),G86-TODAY(),DATE(VALUE(RIGHT(G86,4)),VALUE(MID(G86,4,2)),VALUE(LEFT(G86,2)))-TODAY()),"—")</f>
        <v>178</v>
      </c>
      <c r="I86" s="44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C87" s="35" t="n">
        <f aca="false">IF(E87="","",ROW()-5)</f>
        <v>82</v>
      </c>
      <c r="D87" s="38" t="s">
        <v>270</v>
      </c>
      <c r="E87" s="45" t="s">
        <v>271</v>
      </c>
      <c r="F87" s="38" t="s">
        <v>25</v>
      </c>
      <c r="G87" s="38" t="s">
        <v>57</v>
      </c>
      <c r="H87" s="38" t="n">
        <f aca="true">IFERROR(IF(ISNUMBER(G87),G87-TODAY(),DATE(VALUE(RIGHT(G87,4)),VALUE(MID(G87,4,2)),VALUE(LEFT(G87,2)))-TODAY()),"—")</f>
        <v>178</v>
      </c>
      <c r="I87" s="46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C88" s="35" t="n">
        <f aca="false">IF(E88="","",ROW()-5)</f>
        <v>83</v>
      </c>
      <c r="D88" s="35" t="s">
        <v>272</v>
      </c>
      <c r="E88" s="43" t="s">
        <v>273</v>
      </c>
      <c r="F88" s="36" t="s">
        <v>25</v>
      </c>
      <c r="G88" s="35" t="s">
        <v>57</v>
      </c>
      <c r="H88" s="36" t="n">
        <f aca="true">IFERROR(IF(ISNUMBER(G88),G88-TODAY(),DATE(VALUE(RIGHT(G88,4)),VALUE(MID(G88,4,2)),VALUE(LEFT(G88,2)))-TODAY()),"—")</f>
        <v>178</v>
      </c>
      <c r="I88" s="44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C89" s="35" t="n">
        <f aca="false">IF(E89="","",ROW()-5)</f>
        <v>84</v>
      </c>
      <c r="D89" s="38" t="s">
        <v>274</v>
      </c>
      <c r="E89" s="45" t="s">
        <v>275</v>
      </c>
      <c r="F89" s="38" t="s">
        <v>25</v>
      </c>
      <c r="G89" s="38" t="s">
        <v>57</v>
      </c>
      <c r="H89" s="38" t="n">
        <f aca="true">IFERROR(IF(ISNUMBER(G89),G89-TODAY(),DATE(VALUE(RIGHT(G89,4)),VALUE(MID(G89,4,2)),VALUE(LEFT(G89,2)))-TODAY()),"—")</f>
        <v>178</v>
      </c>
      <c r="I89" s="46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C90" s="35" t="n">
        <f aca="false">IF(E90="","",ROW()-5)</f>
        <v>85</v>
      </c>
      <c r="D90" s="35" t="s">
        <v>276</v>
      </c>
      <c r="E90" s="43" t="s">
        <v>277</v>
      </c>
      <c r="F90" s="36" t="s">
        <v>278</v>
      </c>
      <c r="G90" s="35"/>
      <c r="H90" s="36" t="str">
        <f aca="true">IFERROR(IF(ISNUMBER(G90),G90-TODAY(),DATE(VALUE(RIGHT(G90,4)),VALUE(MID(G90,4,2)),VALUE(LEFT(G90,2)))-TODAY()),"—")</f>
        <v>—</v>
      </c>
      <c r="I90" s="44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C91" s="35" t="n">
        <f aca="false">IF(E91="","",ROW()-5)</f>
        <v>86</v>
      </c>
      <c r="D91" s="38" t="s">
        <v>279</v>
      </c>
      <c r="E91" s="45" t="s">
        <v>280</v>
      </c>
      <c r="F91" s="38" t="s">
        <v>25</v>
      </c>
      <c r="G91" s="38" t="s">
        <v>57</v>
      </c>
      <c r="H91" s="38" t="n">
        <f aca="true">IFERROR(IF(ISNUMBER(G91),G91-TODAY(),DATE(VALUE(RIGHT(G91,4)),VALUE(MID(G91,4,2)),VALUE(LEFT(G91,2)))-TODAY()),"—")</f>
        <v>178</v>
      </c>
      <c r="I91" s="46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C92" s="35" t="n">
        <f aca="false">IF(E92="","",ROW()-5)</f>
        <v>87</v>
      </c>
      <c r="D92" s="35" t="s">
        <v>281</v>
      </c>
      <c r="E92" s="43" t="s">
        <v>282</v>
      </c>
      <c r="F92" s="36" t="s">
        <v>25</v>
      </c>
      <c r="G92" s="35" t="s">
        <v>30</v>
      </c>
      <c r="H92" s="36" t="n">
        <f aca="true">IFERROR(IF(ISNUMBER(G92),G92-TODAY(),DATE(VALUE(RIGHT(G92,4)),VALUE(MID(G92,4,2)),VALUE(LEFT(G92,2)))-TODAY()),"—")</f>
        <v>175</v>
      </c>
      <c r="I92" s="44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C93" s="35" t="n">
        <f aca="false">IF(E93="","",ROW()-5)</f>
        <v>88</v>
      </c>
      <c r="D93" s="38" t="s">
        <v>283</v>
      </c>
      <c r="E93" s="45" t="s">
        <v>284</v>
      </c>
      <c r="F93" s="38" t="s">
        <v>51</v>
      </c>
      <c r="G93" s="38"/>
      <c r="H93" s="38" t="str">
        <f aca="true">IFERROR(IF(ISNUMBER(G93),G93-TODAY(),DATE(VALUE(RIGHT(G93,4)),VALUE(MID(G93,4,2)),VALUE(LEFT(G93,2)))-TODAY()),"—")</f>
        <v>—</v>
      </c>
      <c r="I93" s="46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C94" s="35" t="str">
        <f aca="false">IF(E94="","",ROW()-5)</f>
        <v/>
      </c>
      <c r="D94" s="35"/>
      <c r="E94" s="43"/>
      <c r="F94" s="36"/>
      <c r="G94" s="35"/>
      <c r="H94" s="36" t="str">
        <f aca="true">IFERROR(IF(ISNUMBER(G94),G94-TODAY(),DATE(VALUE(RIGHT(G94,4)),VALUE(MID(G94,4,2)),VALUE(LEFT(G94,2)))-TODAY()),"—")</f>
        <v>—</v>
      </c>
      <c r="I94" s="44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C95" s="35" t="str">
        <f aca="false">IF(E95="","",ROW()-5)</f>
        <v/>
      </c>
      <c r="D95" s="38"/>
      <c r="E95" s="45"/>
      <c r="F95" s="38"/>
      <c r="G95" s="38"/>
      <c r="H95" s="38" t="str">
        <f aca="true">IFERROR(IF(ISNUMBER(G95),G95-TODAY(),DATE(VALUE(RIGHT(G95,4)),VALUE(MID(G95,4,2)),VALUE(LEFT(G95,2)))-TODAY()),"—")</f>
        <v>—</v>
      </c>
      <c r="I95" s="46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>
      <c r="S221" s="1"/>
      <c r="T221" s="1"/>
      <c r="U221" s="1"/>
      <c r="V221" s="1"/>
      <c r="W221" s="1"/>
      <c r="X221" s="1"/>
      <c r="Y221" s="1"/>
      <c r="Z221" s="1"/>
    </row>
    <row r="222" customFormat="false" ht="15.75" hidden="false" customHeight="true" outlineLevel="0" collapsed="false">
      <c r="S222" s="1"/>
      <c r="T222" s="1"/>
      <c r="U222" s="1"/>
      <c r="V222" s="1"/>
      <c r="W222" s="1"/>
      <c r="X222" s="1"/>
      <c r="Y222" s="1"/>
      <c r="Z222" s="1"/>
    </row>
    <row r="223" customFormat="false" ht="15.75" hidden="false" customHeight="true" outlineLevel="0" collapsed="false">
      <c r="S223" s="1"/>
      <c r="T223" s="1"/>
      <c r="U223" s="1"/>
      <c r="V223" s="1"/>
      <c r="W223" s="1"/>
      <c r="X223" s="1"/>
      <c r="Y223" s="1"/>
      <c r="Z223" s="1"/>
    </row>
    <row r="224" customFormat="false" ht="15.75" hidden="false" customHeight="true" outlineLevel="0" collapsed="false">
      <c r="S224" s="1"/>
      <c r="T224" s="1"/>
      <c r="U224" s="1"/>
      <c r="V224" s="1"/>
      <c r="W224" s="1"/>
      <c r="X224" s="1"/>
      <c r="Y224" s="1"/>
      <c r="Z224" s="1"/>
    </row>
    <row r="225" customFormat="false" ht="15.75" hidden="false" customHeight="true" outlineLevel="0" collapsed="false">
      <c r="S225" s="1"/>
      <c r="T225" s="1"/>
      <c r="U225" s="1"/>
      <c r="V225" s="1"/>
      <c r="W225" s="1"/>
      <c r="X225" s="1"/>
      <c r="Y225" s="1"/>
      <c r="Z225" s="1"/>
    </row>
    <row r="226" customFormat="false" ht="15.75" hidden="false" customHeight="true" outlineLevel="0" collapsed="false">
      <c r="S226" s="1"/>
      <c r="T226" s="1"/>
      <c r="U226" s="1"/>
      <c r="V226" s="1"/>
      <c r="W226" s="1"/>
      <c r="X226" s="1"/>
      <c r="Y226" s="1"/>
      <c r="Z226" s="1"/>
    </row>
    <row r="227" customFormat="false" ht="15.75" hidden="false" customHeight="true" outlineLevel="0" collapsed="false">
      <c r="S227" s="1"/>
      <c r="T227" s="1"/>
      <c r="U227" s="1"/>
      <c r="V227" s="1"/>
      <c r="W227" s="1"/>
      <c r="X227" s="1"/>
      <c r="Y227" s="1"/>
      <c r="Z227" s="1"/>
    </row>
    <row r="228" customFormat="false" ht="15.75" hidden="false" customHeight="true" outlineLevel="0" collapsed="false">
      <c r="S228" s="1"/>
      <c r="T228" s="1"/>
      <c r="U228" s="1"/>
      <c r="V228" s="1"/>
      <c r="W228" s="1"/>
      <c r="X228" s="1"/>
      <c r="Y228" s="1"/>
      <c r="Z228" s="1"/>
    </row>
    <row r="229" customFormat="false" ht="15.75" hidden="false" customHeight="true" outlineLevel="0" collapsed="false">
      <c r="S229" s="1"/>
      <c r="T229" s="1"/>
      <c r="U229" s="1"/>
      <c r="V229" s="1"/>
      <c r="W229" s="1"/>
      <c r="X229" s="1"/>
      <c r="Y229" s="1"/>
      <c r="Z229" s="1"/>
    </row>
    <row r="230" customFormat="false" ht="15.75" hidden="false" customHeight="true" outlineLevel="0" collapsed="false">
      <c r="S230" s="1"/>
      <c r="T230" s="1"/>
      <c r="U230" s="1"/>
      <c r="V230" s="1"/>
      <c r="W230" s="1"/>
      <c r="X230" s="1"/>
      <c r="Y230" s="1"/>
      <c r="Z230" s="1"/>
    </row>
    <row r="231" customFormat="false" ht="15.75" hidden="false" customHeight="true" outlineLevel="0" collapsed="false">
      <c r="S231" s="1"/>
      <c r="T231" s="1"/>
      <c r="U231" s="1"/>
      <c r="V231" s="1"/>
      <c r="W231" s="1"/>
      <c r="X231" s="1"/>
      <c r="Y231" s="1"/>
      <c r="Z231" s="1"/>
    </row>
    <row r="232" customFormat="false" ht="15.75" hidden="false" customHeight="true" outlineLevel="0" collapsed="false">
      <c r="S232" s="1"/>
      <c r="T232" s="1"/>
      <c r="U232" s="1"/>
      <c r="V232" s="1"/>
      <c r="W232" s="1"/>
      <c r="X232" s="1"/>
      <c r="Y232" s="1"/>
      <c r="Z232" s="1"/>
    </row>
    <row r="233" customFormat="false" ht="15.75" hidden="false" customHeight="true" outlineLevel="0" collapsed="false">
      <c r="S233" s="1"/>
      <c r="T233" s="1"/>
      <c r="U233" s="1"/>
      <c r="V233" s="1"/>
      <c r="W233" s="1"/>
      <c r="X233" s="1"/>
      <c r="Y233" s="1"/>
      <c r="Z233" s="1"/>
    </row>
    <row r="234" customFormat="false" ht="15.75" hidden="false" customHeight="true" outlineLevel="0" collapsed="false">
      <c r="S234" s="1"/>
      <c r="T234" s="1"/>
      <c r="U234" s="1"/>
      <c r="V234" s="1"/>
      <c r="W234" s="1"/>
      <c r="X234" s="1"/>
      <c r="Y234" s="1"/>
      <c r="Z234" s="1"/>
    </row>
    <row r="235" customFormat="false" ht="15.75" hidden="false" customHeight="true" outlineLevel="0" collapsed="false">
      <c r="S235" s="1"/>
      <c r="T235" s="1"/>
      <c r="U235" s="1"/>
      <c r="V235" s="1"/>
      <c r="W235" s="1"/>
      <c r="X235" s="1"/>
      <c r="Y235" s="1"/>
      <c r="Z235" s="1"/>
    </row>
    <row r="236" customFormat="false" ht="15.75" hidden="false" customHeight="true" outlineLevel="0" collapsed="false">
      <c r="S236" s="1"/>
      <c r="T236" s="1"/>
      <c r="U236" s="1"/>
      <c r="V236" s="1"/>
      <c r="W236" s="1"/>
      <c r="X236" s="1"/>
      <c r="Y236" s="1"/>
      <c r="Z236" s="1"/>
    </row>
    <row r="237" customFormat="false" ht="15.75" hidden="false" customHeight="true" outlineLevel="0" collapsed="false">
      <c r="S237" s="1"/>
      <c r="T237" s="1"/>
      <c r="U237" s="1"/>
      <c r="V237" s="1"/>
      <c r="W237" s="1"/>
      <c r="X237" s="1"/>
      <c r="Y237" s="1"/>
      <c r="Z237" s="1"/>
    </row>
    <row r="238" customFormat="false" ht="15.75" hidden="false" customHeight="true" outlineLevel="0" collapsed="false">
      <c r="S238" s="1"/>
      <c r="T238" s="1"/>
      <c r="U238" s="1"/>
      <c r="V238" s="1"/>
      <c r="W238" s="1"/>
      <c r="X238" s="1"/>
      <c r="Y238" s="1"/>
      <c r="Z238" s="1"/>
    </row>
    <row r="239" customFormat="false" ht="15.75" hidden="false" customHeight="true" outlineLevel="0" collapsed="false">
      <c r="S239" s="1"/>
      <c r="T239" s="1"/>
      <c r="U239" s="1"/>
      <c r="V239" s="1"/>
      <c r="W239" s="1"/>
      <c r="X239" s="1"/>
      <c r="Y239" s="1"/>
      <c r="Z239" s="1"/>
    </row>
    <row r="240" customFormat="false" ht="15.75" hidden="false" customHeight="true" outlineLevel="0" collapsed="false">
      <c r="S240" s="1"/>
      <c r="T240" s="1"/>
      <c r="U240" s="1"/>
      <c r="V240" s="1"/>
      <c r="W240" s="1"/>
      <c r="X240" s="1"/>
      <c r="Y240" s="1"/>
      <c r="Z240" s="1"/>
    </row>
    <row r="241" customFormat="false" ht="15.75" hidden="false" customHeight="true" outlineLevel="0" collapsed="false">
      <c r="S241" s="1"/>
      <c r="T241" s="1"/>
      <c r="U241" s="1"/>
      <c r="V241" s="1"/>
      <c r="W241" s="1"/>
      <c r="X241" s="1"/>
      <c r="Y241" s="1"/>
      <c r="Z241" s="1"/>
    </row>
    <row r="242" customFormat="false" ht="15.75" hidden="false" customHeight="true" outlineLevel="0" collapsed="false">
      <c r="S242" s="1"/>
      <c r="T242" s="1"/>
      <c r="U242" s="1"/>
      <c r="V242" s="1"/>
      <c r="W242" s="1"/>
      <c r="X242" s="1"/>
      <c r="Y242" s="1"/>
      <c r="Z242" s="1"/>
    </row>
    <row r="243" customFormat="false" ht="15.75" hidden="false" customHeight="true" outlineLevel="0" collapsed="false">
      <c r="S243" s="1"/>
      <c r="T243" s="1"/>
      <c r="U243" s="1"/>
      <c r="V243" s="1"/>
      <c r="W243" s="1"/>
      <c r="X243" s="1"/>
      <c r="Y243" s="1"/>
      <c r="Z243" s="1"/>
    </row>
    <row r="244" customFormat="false" ht="15.75" hidden="false" customHeight="true" outlineLevel="0" collapsed="false">
      <c r="S244" s="1"/>
      <c r="T244" s="1"/>
      <c r="U244" s="1"/>
      <c r="V244" s="1"/>
      <c r="W244" s="1"/>
      <c r="X244" s="1"/>
      <c r="Y244" s="1"/>
      <c r="Z244" s="1"/>
    </row>
    <row r="245" customFormat="false" ht="15.75" hidden="false" customHeight="true" outlineLevel="0" collapsed="false">
      <c r="S245" s="1"/>
      <c r="T245" s="1"/>
      <c r="U245" s="1"/>
      <c r="V245" s="1"/>
      <c r="W245" s="1"/>
      <c r="X245" s="1"/>
      <c r="Y245" s="1"/>
      <c r="Z245" s="1"/>
    </row>
    <row r="246" customFormat="false" ht="15.75" hidden="false" customHeight="true" outlineLevel="0" collapsed="false">
      <c r="S246" s="1"/>
      <c r="T246" s="1"/>
      <c r="U246" s="1"/>
      <c r="V246" s="1"/>
      <c r="W246" s="1"/>
      <c r="X246" s="1"/>
      <c r="Y246" s="1"/>
      <c r="Z246" s="1"/>
    </row>
    <row r="247" customFormat="false" ht="15.75" hidden="false" customHeight="true" outlineLevel="0" collapsed="false">
      <c r="S247" s="1"/>
      <c r="T247" s="1"/>
      <c r="U247" s="1"/>
      <c r="V247" s="1"/>
      <c r="W247" s="1"/>
      <c r="X247" s="1"/>
      <c r="Y247" s="1"/>
      <c r="Z247" s="1"/>
    </row>
    <row r="248" customFormat="false" ht="15.75" hidden="false" customHeight="true" outlineLevel="0" collapsed="false">
      <c r="S248" s="1"/>
      <c r="T248" s="1"/>
      <c r="U248" s="1"/>
      <c r="V248" s="1"/>
      <c r="W248" s="1"/>
      <c r="X248" s="1"/>
      <c r="Y248" s="1"/>
      <c r="Z248" s="1"/>
    </row>
    <row r="249" customFormat="false" ht="15.75" hidden="false" customHeight="true" outlineLevel="0" collapsed="false">
      <c r="S249" s="1"/>
      <c r="T249" s="1"/>
      <c r="U249" s="1"/>
      <c r="V249" s="1"/>
      <c r="W249" s="1"/>
      <c r="X249" s="1"/>
      <c r="Y249" s="1"/>
      <c r="Z249" s="1"/>
    </row>
    <row r="250" customFormat="false" ht="15.75" hidden="false" customHeight="true" outlineLevel="0" collapsed="false">
      <c r="S250" s="1"/>
      <c r="T250" s="1"/>
      <c r="U250" s="1"/>
      <c r="V250" s="1"/>
      <c r="W250" s="1"/>
      <c r="X250" s="1"/>
      <c r="Y250" s="1"/>
      <c r="Z250" s="1"/>
    </row>
    <row r="251" customFormat="false" ht="15.75" hidden="false" customHeight="true" outlineLevel="0" collapsed="false">
      <c r="S251" s="1"/>
      <c r="T251" s="1"/>
      <c r="U251" s="1"/>
      <c r="V251" s="1"/>
      <c r="W251" s="1"/>
      <c r="X251" s="1"/>
      <c r="Y251" s="1"/>
      <c r="Z251" s="1"/>
    </row>
    <row r="252" customFormat="false" ht="15.75" hidden="false" customHeight="true" outlineLevel="0" collapsed="false">
      <c r="S252" s="1"/>
      <c r="T252" s="1"/>
      <c r="U252" s="1"/>
      <c r="V252" s="1"/>
      <c r="W252" s="1"/>
      <c r="X252" s="1"/>
      <c r="Y252" s="1"/>
      <c r="Z252" s="1"/>
    </row>
    <row r="253" customFormat="false" ht="15.75" hidden="false" customHeight="true" outlineLevel="0" collapsed="false">
      <c r="S253" s="1"/>
      <c r="T253" s="1"/>
      <c r="U253" s="1"/>
      <c r="V253" s="1"/>
      <c r="W253" s="1"/>
      <c r="X253" s="1"/>
      <c r="Y253" s="1"/>
      <c r="Z253" s="1"/>
    </row>
    <row r="254" customFormat="false" ht="15.75" hidden="false" customHeight="true" outlineLevel="0" collapsed="false">
      <c r="S254" s="1"/>
      <c r="T254" s="1"/>
      <c r="U254" s="1"/>
      <c r="V254" s="1"/>
      <c r="W254" s="1"/>
      <c r="X254" s="1"/>
      <c r="Y254" s="1"/>
      <c r="Z254" s="1"/>
    </row>
    <row r="255" customFormat="false" ht="15.75" hidden="false" customHeight="true" outlineLevel="0" collapsed="false">
      <c r="S255" s="1"/>
      <c r="T255" s="1"/>
      <c r="U255" s="1"/>
      <c r="V255" s="1"/>
      <c r="W255" s="1"/>
      <c r="X255" s="1"/>
      <c r="Y255" s="1"/>
      <c r="Z255" s="1"/>
    </row>
    <row r="256" customFormat="false" ht="15.75" hidden="false" customHeight="true" outlineLevel="0" collapsed="false">
      <c r="S256" s="1"/>
      <c r="T256" s="1"/>
      <c r="U256" s="1"/>
      <c r="V256" s="1"/>
      <c r="W256" s="1"/>
      <c r="X256" s="1"/>
      <c r="Y256" s="1"/>
      <c r="Z256" s="1"/>
    </row>
    <row r="257" customFormat="false" ht="15.75" hidden="false" customHeight="true" outlineLevel="0" collapsed="false">
      <c r="S257" s="1"/>
      <c r="T257" s="1"/>
      <c r="U257" s="1"/>
      <c r="V257" s="1"/>
      <c r="W257" s="1"/>
      <c r="X257" s="1"/>
      <c r="Y257" s="1"/>
      <c r="Z257" s="1"/>
    </row>
    <row r="258" customFormat="false" ht="15.75" hidden="false" customHeight="true" outlineLevel="0" collapsed="false">
      <c r="S258" s="1"/>
      <c r="T258" s="1"/>
      <c r="U258" s="1"/>
      <c r="V258" s="1"/>
      <c r="W258" s="1"/>
      <c r="X258" s="1"/>
      <c r="Y258" s="1"/>
      <c r="Z258" s="1"/>
    </row>
    <row r="259" customFormat="false" ht="15.75" hidden="false" customHeight="true" outlineLevel="0" collapsed="false">
      <c r="S259" s="1"/>
      <c r="T259" s="1"/>
      <c r="U259" s="1"/>
      <c r="V259" s="1"/>
      <c r="W259" s="1"/>
      <c r="X259" s="1"/>
      <c r="Y259" s="1"/>
      <c r="Z259" s="1"/>
    </row>
    <row r="260" customFormat="false" ht="15.75" hidden="false" customHeight="true" outlineLevel="0" collapsed="false">
      <c r="S260" s="1"/>
      <c r="T260" s="1"/>
      <c r="U260" s="1"/>
      <c r="V260" s="1"/>
      <c r="W260" s="1"/>
      <c r="X260" s="1"/>
      <c r="Y260" s="1"/>
      <c r="Z260" s="1"/>
    </row>
    <row r="261" customFormat="false" ht="15.75" hidden="false" customHeight="true" outlineLevel="0" collapsed="false">
      <c r="S261" s="1"/>
      <c r="T261" s="1"/>
      <c r="U261" s="1"/>
      <c r="V261" s="1"/>
      <c r="W261" s="1"/>
      <c r="X261" s="1"/>
      <c r="Y261" s="1"/>
      <c r="Z261" s="1"/>
    </row>
    <row r="262" customFormat="false" ht="15.75" hidden="false" customHeight="true" outlineLevel="0" collapsed="false">
      <c r="S262" s="1"/>
      <c r="T262" s="1"/>
      <c r="U262" s="1"/>
      <c r="V262" s="1"/>
      <c r="W262" s="1"/>
      <c r="X262" s="1"/>
      <c r="Y262" s="1"/>
      <c r="Z262" s="1"/>
    </row>
    <row r="263" customFormat="false" ht="15.75" hidden="false" customHeight="true" outlineLevel="0" collapsed="false">
      <c r="S263" s="1"/>
      <c r="T263" s="1"/>
      <c r="U263" s="1"/>
      <c r="V263" s="1"/>
      <c r="W263" s="1"/>
      <c r="X263" s="1"/>
      <c r="Y263" s="1"/>
      <c r="Z263" s="1"/>
    </row>
    <row r="264" customFormat="false" ht="15.75" hidden="false" customHeight="true" outlineLevel="0" collapsed="false">
      <c r="S264" s="1"/>
      <c r="T264" s="1"/>
      <c r="U264" s="1"/>
      <c r="V264" s="1"/>
      <c r="W264" s="1"/>
      <c r="X264" s="1"/>
      <c r="Y264" s="1"/>
      <c r="Z264" s="1"/>
    </row>
    <row r="265" customFormat="false" ht="15.75" hidden="false" customHeight="true" outlineLevel="0" collapsed="false">
      <c r="S265" s="1"/>
      <c r="T265" s="1"/>
      <c r="U265" s="1"/>
      <c r="V265" s="1"/>
      <c r="W265" s="1"/>
      <c r="X265" s="1"/>
      <c r="Y265" s="1"/>
      <c r="Z265" s="1"/>
    </row>
    <row r="266" customFormat="false" ht="15.75" hidden="false" customHeight="true" outlineLevel="0" collapsed="false">
      <c r="S266" s="1"/>
      <c r="T266" s="1"/>
      <c r="U266" s="1"/>
      <c r="V266" s="1"/>
      <c r="W266" s="1"/>
      <c r="X266" s="1"/>
      <c r="Y266" s="1"/>
      <c r="Z266" s="1"/>
    </row>
    <row r="267" customFormat="false" ht="15.75" hidden="false" customHeight="true" outlineLevel="0" collapsed="false">
      <c r="S267" s="1"/>
      <c r="T267" s="1"/>
      <c r="U267" s="1"/>
      <c r="V267" s="1"/>
      <c r="W267" s="1"/>
      <c r="X267" s="1"/>
      <c r="Y267" s="1"/>
      <c r="Z267" s="1"/>
    </row>
    <row r="268" customFormat="false" ht="15.75" hidden="false" customHeight="true" outlineLevel="0" collapsed="false">
      <c r="S268" s="1"/>
      <c r="T268" s="1"/>
      <c r="U268" s="1"/>
      <c r="V268" s="1"/>
      <c r="W268" s="1"/>
      <c r="X268" s="1"/>
      <c r="Y268" s="1"/>
      <c r="Z268" s="1"/>
    </row>
    <row r="269" customFormat="false" ht="15.75" hidden="false" customHeight="true" outlineLevel="0" collapsed="false">
      <c r="S269" s="1"/>
      <c r="T269" s="1"/>
      <c r="U269" s="1"/>
      <c r="V269" s="1"/>
      <c r="W269" s="1"/>
      <c r="X269" s="1"/>
      <c r="Y269" s="1"/>
      <c r="Z269" s="1"/>
    </row>
    <row r="270" customFormat="false" ht="15.75" hidden="false" customHeight="true" outlineLevel="0" collapsed="false">
      <c r="S270" s="1"/>
      <c r="T270" s="1"/>
      <c r="U270" s="1"/>
      <c r="V270" s="1"/>
      <c r="W270" s="1"/>
      <c r="X270" s="1"/>
      <c r="Y270" s="1"/>
      <c r="Z270" s="1"/>
    </row>
    <row r="271" customFormat="false" ht="15.75" hidden="false" customHeight="true" outlineLevel="0" collapsed="false">
      <c r="S271" s="1"/>
      <c r="T271" s="1"/>
      <c r="U271" s="1"/>
      <c r="V271" s="1"/>
      <c r="W271" s="1"/>
      <c r="X271" s="1"/>
      <c r="Y271" s="1"/>
      <c r="Z271" s="1"/>
    </row>
    <row r="272" customFormat="false" ht="15.75" hidden="false" customHeight="true" outlineLevel="0" collapsed="false">
      <c r="S272" s="1"/>
      <c r="T272" s="1"/>
      <c r="U272" s="1"/>
      <c r="V272" s="1"/>
      <c r="W272" s="1"/>
      <c r="X272" s="1"/>
      <c r="Y272" s="1"/>
      <c r="Z272" s="1"/>
    </row>
    <row r="273" customFormat="false" ht="15.75" hidden="false" customHeight="true" outlineLevel="0" collapsed="false">
      <c r="S273" s="1"/>
      <c r="T273" s="1"/>
      <c r="U273" s="1"/>
      <c r="V273" s="1"/>
      <c r="W273" s="1"/>
      <c r="X273" s="1"/>
      <c r="Y273" s="1"/>
      <c r="Z273" s="1"/>
    </row>
    <row r="274" customFormat="false" ht="15.75" hidden="false" customHeight="true" outlineLevel="0" collapsed="false">
      <c r="S274" s="1"/>
      <c r="T274" s="1"/>
      <c r="U274" s="1"/>
      <c r="V274" s="1"/>
      <c r="W274" s="1"/>
      <c r="X274" s="1"/>
      <c r="Y274" s="1"/>
      <c r="Z274" s="1"/>
    </row>
    <row r="275" customFormat="false" ht="15.75" hidden="false" customHeight="true" outlineLevel="0" collapsed="false">
      <c r="S275" s="1"/>
      <c r="T275" s="1"/>
      <c r="U275" s="1"/>
      <c r="V275" s="1"/>
      <c r="W275" s="1"/>
      <c r="X275" s="1"/>
      <c r="Y275" s="1"/>
      <c r="Z275" s="1"/>
    </row>
    <row r="276" customFormat="false" ht="15.75" hidden="false" customHeight="true" outlineLevel="0" collapsed="false">
      <c r="S276" s="1"/>
      <c r="T276" s="1"/>
      <c r="U276" s="1"/>
      <c r="V276" s="1"/>
      <c r="W276" s="1"/>
      <c r="X276" s="1"/>
      <c r="Y276" s="1"/>
      <c r="Z276" s="1"/>
    </row>
    <row r="277" customFormat="false" ht="15.75" hidden="false" customHeight="true" outlineLevel="0" collapsed="false">
      <c r="S277" s="1"/>
      <c r="T277" s="1"/>
      <c r="U277" s="1"/>
      <c r="V277" s="1"/>
      <c r="W277" s="1"/>
      <c r="X277" s="1"/>
      <c r="Y277" s="1"/>
      <c r="Z277" s="1"/>
    </row>
    <row r="278" customFormat="false" ht="15.75" hidden="false" customHeight="true" outlineLevel="0" collapsed="false">
      <c r="S278" s="1"/>
      <c r="T278" s="1"/>
      <c r="U278" s="1"/>
      <c r="V278" s="1"/>
      <c r="W278" s="1"/>
      <c r="X278" s="1"/>
      <c r="Y278" s="1"/>
      <c r="Z278" s="1"/>
    </row>
    <row r="279" customFormat="false" ht="15.75" hidden="false" customHeight="true" outlineLevel="0" collapsed="false">
      <c r="S279" s="1"/>
      <c r="T279" s="1"/>
      <c r="U279" s="1"/>
      <c r="V279" s="1"/>
      <c r="W279" s="1"/>
      <c r="X279" s="1"/>
      <c r="Y279" s="1"/>
      <c r="Z279" s="1"/>
    </row>
    <row r="280" customFormat="false" ht="15.75" hidden="false" customHeight="true" outlineLevel="0" collapsed="false">
      <c r="S280" s="1"/>
      <c r="T280" s="1"/>
      <c r="U280" s="1"/>
      <c r="V280" s="1"/>
      <c r="W280" s="1"/>
      <c r="X280" s="1"/>
      <c r="Y280" s="1"/>
      <c r="Z280" s="1"/>
    </row>
    <row r="281" customFormat="false" ht="15.75" hidden="false" customHeight="true" outlineLevel="0" collapsed="false">
      <c r="S281" s="1"/>
      <c r="T281" s="1"/>
      <c r="U281" s="1"/>
      <c r="V281" s="1"/>
      <c r="W281" s="1"/>
      <c r="X281" s="1"/>
      <c r="Y281" s="1"/>
      <c r="Z281" s="1"/>
    </row>
    <row r="282" customFormat="false" ht="15.75" hidden="false" customHeight="true" outlineLevel="0" collapsed="false">
      <c r="S282" s="1"/>
      <c r="T282" s="1"/>
      <c r="U282" s="1"/>
      <c r="V282" s="1"/>
      <c r="W282" s="1"/>
      <c r="X282" s="1"/>
      <c r="Y282" s="1"/>
      <c r="Z282" s="1"/>
    </row>
    <row r="283" customFormat="false" ht="15.75" hidden="false" customHeight="true" outlineLevel="0" collapsed="false">
      <c r="S283" s="1"/>
      <c r="T283" s="1"/>
      <c r="U283" s="1"/>
      <c r="V283" s="1"/>
      <c r="W283" s="1"/>
      <c r="X283" s="1"/>
      <c r="Y283" s="1"/>
      <c r="Z283" s="1"/>
    </row>
    <row r="284" customFormat="false" ht="15.75" hidden="false" customHeight="true" outlineLevel="0" collapsed="false">
      <c r="S284" s="1"/>
      <c r="T284" s="1"/>
      <c r="U284" s="1"/>
      <c r="V284" s="1"/>
      <c r="W284" s="1"/>
      <c r="X284" s="1"/>
      <c r="Y284" s="1"/>
      <c r="Z284" s="1"/>
    </row>
    <row r="285" customFormat="false" ht="15.75" hidden="false" customHeight="true" outlineLevel="0" collapsed="false">
      <c r="S285" s="1"/>
      <c r="T285" s="1"/>
      <c r="U285" s="1"/>
      <c r="V285" s="1"/>
      <c r="W285" s="1"/>
      <c r="X285" s="1"/>
      <c r="Y285" s="1"/>
      <c r="Z285" s="1"/>
    </row>
    <row r="286" customFormat="false" ht="15.75" hidden="false" customHeight="true" outlineLevel="0" collapsed="false">
      <c r="S286" s="1"/>
      <c r="T286" s="1"/>
      <c r="U286" s="1"/>
      <c r="V286" s="1"/>
      <c r="W286" s="1"/>
      <c r="X286" s="1"/>
      <c r="Y286" s="1"/>
      <c r="Z286" s="1"/>
    </row>
    <row r="287" customFormat="false" ht="15.75" hidden="false" customHeight="true" outlineLevel="0" collapsed="false">
      <c r="S287" s="1"/>
      <c r="T287" s="1"/>
      <c r="U287" s="1"/>
      <c r="V287" s="1"/>
      <c r="W287" s="1"/>
      <c r="X287" s="1"/>
      <c r="Y287" s="1"/>
      <c r="Z287" s="1"/>
    </row>
    <row r="288" customFormat="false" ht="15.75" hidden="false" customHeight="true" outlineLevel="0" collapsed="false">
      <c r="S288" s="1"/>
      <c r="T288" s="1"/>
      <c r="U288" s="1"/>
      <c r="V288" s="1"/>
      <c r="W288" s="1"/>
      <c r="X288" s="1"/>
      <c r="Y288" s="1"/>
      <c r="Z288" s="1"/>
    </row>
    <row r="289" customFormat="false" ht="15.75" hidden="false" customHeight="true" outlineLevel="0" collapsed="false">
      <c r="S289" s="1"/>
      <c r="T289" s="1"/>
      <c r="U289" s="1"/>
      <c r="V289" s="1"/>
      <c r="W289" s="1"/>
      <c r="X289" s="1"/>
      <c r="Y289" s="1"/>
      <c r="Z289" s="1"/>
    </row>
    <row r="290" customFormat="false" ht="15.75" hidden="false" customHeight="true" outlineLevel="0" collapsed="false">
      <c r="S290" s="1"/>
      <c r="T290" s="1"/>
      <c r="U290" s="1"/>
      <c r="V290" s="1"/>
      <c r="W290" s="1"/>
      <c r="X290" s="1"/>
      <c r="Y290" s="1"/>
      <c r="Z290" s="1"/>
    </row>
    <row r="291" customFormat="false" ht="15.75" hidden="false" customHeight="true" outlineLevel="0" collapsed="false">
      <c r="S291" s="1"/>
      <c r="T291" s="1"/>
      <c r="U291" s="1"/>
      <c r="V291" s="1"/>
      <c r="W291" s="1"/>
      <c r="X291" s="1"/>
      <c r="Y291" s="1"/>
      <c r="Z291" s="1"/>
    </row>
    <row r="292" customFormat="false" ht="15.75" hidden="false" customHeight="true" outlineLevel="0" collapsed="false">
      <c r="S292" s="1"/>
      <c r="T292" s="1"/>
      <c r="U292" s="1"/>
      <c r="V292" s="1"/>
      <c r="W292" s="1"/>
      <c r="X292" s="1"/>
      <c r="Y292" s="1"/>
      <c r="Z292" s="1"/>
    </row>
    <row r="293" customFormat="false" ht="15.75" hidden="false" customHeight="true" outlineLevel="0" collapsed="false">
      <c r="S293" s="1"/>
      <c r="T293" s="1"/>
      <c r="U293" s="1"/>
      <c r="V293" s="1"/>
      <c r="W293" s="1"/>
      <c r="X293" s="1"/>
      <c r="Y293" s="1"/>
      <c r="Z293" s="1"/>
    </row>
    <row r="294" customFormat="false" ht="15.75" hidden="false" customHeight="true" outlineLevel="0" collapsed="false">
      <c r="S294" s="1"/>
      <c r="T294" s="1"/>
      <c r="U294" s="1"/>
      <c r="V294" s="1"/>
      <c r="W294" s="1"/>
      <c r="X294" s="1"/>
      <c r="Y294" s="1"/>
      <c r="Z294" s="1"/>
    </row>
    <row r="295" customFormat="false" ht="15.75" hidden="false" customHeight="true" outlineLevel="0" collapsed="false">
      <c r="S295" s="1"/>
      <c r="T295" s="1"/>
      <c r="U295" s="1"/>
      <c r="V295" s="1"/>
      <c r="W295" s="1"/>
      <c r="X295" s="1"/>
      <c r="Y295" s="1"/>
      <c r="Z295" s="1"/>
    </row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C5:I95"/>
  <mergeCells count="1">
    <mergeCell ref="C4:I4"/>
  </mergeCells>
  <conditionalFormatting sqref="F6:F95">
    <cfRule type="expression" priority="2" aboveAverage="0" equalAverage="0" bottom="0" percent="0" rank="0" text="" dxfId="19">
      <formula>F6="TEM PERFIL"</formula>
    </cfRule>
    <cfRule type="expression" priority="3" aboveAverage="0" equalAverage="0" bottom="0" percent="0" rank="0" text="" dxfId="20">
      <formula>F6="NÃO TEM PERFIL"</formula>
    </cfRule>
    <cfRule type="expression" priority="4" aboveAverage="0" equalAverage="0" bottom="0" percent="0" rank="0" text="" dxfId="21">
      <formula>F6="AGUARDANDO RETORNO"</formula>
    </cfRule>
    <cfRule type="expression" priority="5" aboveAverage="0" equalAverage="0" bottom="0" percent="0" rank="0" text="" dxfId="27">
      <formula>F6="DADOS DIVERGENTES"</formula>
    </cfRule>
    <cfRule type="expression" priority="6" aboveAverage="0" equalAverage="0" bottom="0" percent="0" rank="0" text="" dxfId="27">
      <formula>F6="DADOS INVÁLIDOS"</formula>
    </cfRule>
  </conditionalFormatting>
  <conditionalFormatting sqref="H6:H95">
    <cfRule type="cellIs" priority="7" operator="lessThan" aboveAverage="0" equalAverage="0" bottom="0" percent="0" rank="0" text="" dxfId="9">
      <formula>0</formula>
    </cfRule>
    <cfRule type="cellIs" priority="8" operator="between" aboveAverage="0" equalAverage="0" bottom="0" percent="0" rank="0" text="" dxfId="7">
      <formula>0</formula>
      <formula>30</formula>
    </cfRule>
    <cfRule type="cellIs" priority="9" operator="between" aboveAverage="0" equalAverage="0" bottom="0" percent="0" rank="0" text="" dxfId="8">
      <formula>31</formula>
      <formula>60</formula>
    </cfRule>
    <cfRule type="cellIs" priority="10" operator="greaterThan" aboveAverage="0" equalAverage="0" bottom="0" percent="0" rank="0" text="" dxfId="10">
      <formula>60</formula>
    </cfRule>
  </conditionalFormatting>
  <dataValidations count="1">
    <dataValidation allowBlank="true" errorStyle="stop" operator="between" showDropDown="false" showErrorMessage="false" showInputMessage="false" sqref="F6:F95" type="list">
      <formula1>"TEM PERFIL,AGUARDANDO RETORNO,NÃO TEM PERFIL,DADOS DIVERGENTES,DADOS INVÁLIDOS"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Z100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5" topLeftCell="B6" activePane="bottomRight" state="frozen"/>
      <selection pane="topLeft" activeCell="A1" activeCellId="0" sqref="A1"/>
      <selection pane="topRight" activeCell="B1" activeCellId="0" sqref="B1"/>
      <selection pane="bottomLeft" activeCell="A6" activeCellId="0" sqref="A6"/>
      <selection pane="bottomRight" activeCell="B7" activeCellId="0" sqref="B7"/>
    </sheetView>
  </sheetViews>
  <sheetFormatPr defaultColWidth="14.43359375" defaultRowHeight="15" zeroHeight="false" outlineLevelRow="0" outlineLevelCol="0"/>
  <cols>
    <col collapsed="false" customWidth="true" hidden="false" outlineLevel="0" max="1" min="1" style="1" width="60.29"/>
    <col collapsed="false" customWidth="true" hidden="false" outlineLevel="0" max="2" min="2" style="1" width="20"/>
    <col collapsed="false" customWidth="true" hidden="false" outlineLevel="0" max="3" min="3" style="1" width="38"/>
    <col collapsed="false" customWidth="true" hidden="false" outlineLevel="0" max="4" min="4" style="1" width="16"/>
    <col collapsed="false" customWidth="true" hidden="false" outlineLevel="0" max="5" min="5" style="1" width="13"/>
    <col collapsed="false" customWidth="true" hidden="false" outlineLevel="0" max="6" min="6" style="1" width="14"/>
    <col collapsed="false" customWidth="true" hidden="false" outlineLevel="0" max="7" min="7" style="1" width="22"/>
  </cols>
  <sheetData>
    <row r="1" customFormat="false" ht="27.75" hidden="false" customHeight="true" outlineLevel="0" collapsed="false">
      <c r="A1" s="29" t="s">
        <v>0</v>
      </c>
      <c r="B1" s="30"/>
      <c r="C1" s="30"/>
      <c r="D1" s="30"/>
      <c r="E1" s="30"/>
      <c r="F1" s="30"/>
      <c r="G1" s="30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</row>
    <row r="2" customFormat="false" ht="21.75" hidden="false" customHeight="true" outlineLevel="0" collapsed="false">
      <c r="A2" s="31" t="s">
        <v>285</v>
      </c>
      <c r="B2" s="30"/>
      <c r="C2" s="30"/>
      <c r="D2" s="30"/>
      <c r="E2" s="30"/>
      <c r="F2" s="30"/>
      <c r="G2" s="30"/>
      <c r="H2" s="1"/>
      <c r="I2" s="1"/>
      <c r="J2" s="1"/>
      <c r="K2" s="1"/>
      <c r="L2" s="1"/>
      <c r="M2" s="1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1"/>
    </row>
    <row r="3" customFormat="false" ht="15.75" hidden="false" customHeight="true" outlineLevel="0" collapsed="false">
      <c r="A3" s="32" t="s">
        <v>15</v>
      </c>
      <c r="H3" s="1"/>
      <c r="I3" s="1"/>
      <c r="J3" s="1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V3" s="1"/>
      <c r="W3" s="1"/>
      <c r="X3" s="1"/>
      <c r="Y3" s="1"/>
      <c r="Z3" s="1"/>
    </row>
    <row r="4" customFormat="false" ht="18" hidden="false" customHeight="true" outlineLevel="0" collapsed="false">
      <c r="A4" s="33" t="str">
        <f aca="false">"📋 "&amp;COUNTA(B6:B20)&amp;" registros   |   ✅ "&amp;COUNTIF(D6:D20,"TEM PERFIL")&amp;"   |   🕓 "&amp;COUNTIF(D6:D20,"AGUARDANDO RETORNO")&amp;"   |   ❌ "&amp;COUNTIF(D6:D20,"NÃO TEM PERFIL")</f>
        <v>📋 8 registros   |   ✅ 7   |   🕓 0   |   ❌ 1</v>
      </c>
      <c r="B4" s="33"/>
      <c r="C4" s="33"/>
      <c r="D4" s="33"/>
      <c r="E4" s="33"/>
      <c r="F4" s="33"/>
      <c r="G4" s="33"/>
      <c r="H4" s="1"/>
      <c r="I4" s="1"/>
      <c r="J4" s="1"/>
      <c r="K4" s="1"/>
      <c r="L4" s="1"/>
      <c r="M4" s="1"/>
      <c r="N4" s="1"/>
      <c r="O4" s="1"/>
      <c r="P4" s="1"/>
      <c r="Q4" s="1"/>
      <c r="R4" s="1"/>
      <c r="S4" s="1"/>
      <c r="T4" s="1"/>
      <c r="U4" s="1"/>
      <c r="V4" s="1"/>
      <c r="W4" s="1"/>
      <c r="X4" s="1"/>
      <c r="Y4" s="1"/>
      <c r="Z4" s="1"/>
    </row>
    <row r="5" customFormat="false" ht="21.75" hidden="false" customHeight="true" outlineLevel="0" collapsed="false">
      <c r="A5" s="34" t="s">
        <v>7</v>
      </c>
      <c r="B5" s="34" t="s">
        <v>65</v>
      </c>
      <c r="C5" s="34" t="s">
        <v>66</v>
      </c>
      <c r="D5" s="34" t="s">
        <v>11</v>
      </c>
      <c r="E5" s="34" t="s">
        <v>17</v>
      </c>
      <c r="F5" s="34" t="s">
        <v>13</v>
      </c>
      <c r="G5" s="34" t="s">
        <v>18</v>
      </c>
      <c r="H5" s="1"/>
      <c r="I5" s="1"/>
      <c r="J5" s="1"/>
      <c r="K5" s="1"/>
      <c r="L5" s="1"/>
      <c r="M5" s="1"/>
      <c r="N5" s="1"/>
      <c r="O5" s="1"/>
      <c r="P5" s="1"/>
      <c r="Q5" s="1"/>
      <c r="R5" s="1"/>
      <c r="S5" s="1"/>
      <c r="T5" s="1"/>
      <c r="U5" s="1"/>
      <c r="V5" s="1"/>
      <c r="W5" s="1"/>
      <c r="X5" s="1"/>
      <c r="Y5" s="1"/>
      <c r="Z5" s="1"/>
    </row>
    <row r="6" customFormat="false" ht="15" hidden="false" customHeight="true" outlineLevel="0" collapsed="false">
      <c r="A6" s="35" t="n">
        <f aca="false">IF(C6="","",ROW()-5)</f>
        <v>1</v>
      </c>
      <c r="B6" s="35" t="s">
        <v>225</v>
      </c>
      <c r="C6" s="43" t="s">
        <v>226</v>
      </c>
      <c r="D6" s="36" t="s">
        <v>25</v>
      </c>
      <c r="E6" s="37" t="s">
        <v>265</v>
      </c>
      <c r="F6" s="36" t="n">
        <f aca="true">IFERROR(IF(ISNUMBER(E6),E6-TODAY(),DATE(VALUE(RIGHT(E6,4)),VALUE(MID(E6,4,2)),VALUE(LEFT(E6,2)))-TODAY()),"—")</f>
        <v>137</v>
      </c>
      <c r="G6" s="35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  <c r="V6" s="1"/>
      <c r="W6" s="1"/>
      <c r="X6" s="1"/>
      <c r="Y6" s="1"/>
      <c r="Z6" s="1"/>
    </row>
    <row r="7" customFormat="false" ht="18" hidden="false" customHeight="true" outlineLevel="0" collapsed="false">
      <c r="A7" s="35" t="n">
        <f aca="false">IF(C7="","",ROW()-5)</f>
        <v>2</v>
      </c>
      <c r="B7" s="38" t="s">
        <v>286</v>
      </c>
      <c r="C7" s="45" t="s">
        <v>287</v>
      </c>
      <c r="D7" s="38" t="s">
        <v>25</v>
      </c>
      <c r="E7" s="39" t="s">
        <v>34</v>
      </c>
      <c r="F7" s="38" t="n">
        <f aca="true">IFERROR(IF(ISNUMBER(E7),E7-TODAY(),DATE(VALUE(RIGHT(E7,4)),VALUE(MID(E7,4,2)),VALUE(LEFT(E7,2)))-TODAY()),"—")</f>
        <v>147</v>
      </c>
      <c r="G7" s="38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/>
      <c r="Y7" s="1"/>
      <c r="Z7" s="1"/>
    </row>
    <row r="8" customFormat="false" ht="21.75" hidden="false" customHeight="true" outlineLevel="0" collapsed="false">
      <c r="A8" s="35" t="n">
        <f aca="false">IF(C8="","",ROW()-5)</f>
        <v>3</v>
      </c>
      <c r="B8" s="35" t="s">
        <v>288</v>
      </c>
      <c r="C8" s="43" t="s">
        <v>289</v>
      </c>
      <c r="D8" s="36" t="s">
        <v>25</v>
      </c>
      <c r="E8" s="37" t="n">
        <v>46406</v>
      </c>
      <c r="F8" s="36" t="n">
        <f aca="true">IFERROR(IF(ISNUMBER(E8),E8-TODAY(),DATE(VALUE(RIGHT(E8,4)),VALUE(MID(E8,4,2)),VALUE(LEFT(E8,2)))-TODAY()),"—")</f>
        <v>137</v>
      </c>
      <c r="G8" s="35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</row>
    <row r="9" customFormat="false" ht="16.5" hidden="false" customHeight="true" outlineLevel="0" collapsed="false">
      <c r="A9" s="35" t="n">
        <f aca="false">IF(C9="","",ROW()-5)</f>
        <v>4</v>
      </c>
      <c r="B9" s="38" t="s">
        <v>290</v>
      </c>
      <c r="C9" s="45" t="s">
        <v>291</v>
      </c>
      <c r="D9" s="38" t="s">
        <v>25</v>
      </c>
      <c r="E9" s="39" t="n">
        <v>46406</v>
      </c>
      <c r="F9" s="40" t="n">
        <f aca="true">IFERROR(IF(ISNUMBER(E9),E9-TODAY(),DATE(VALUE(RIGHT(E9,4)),VALUE(MID(E9,4,2)),VALUE(LEFT(E9,2)))-TODAY()),"—")</f>
        <v>137</v>
      </c>
      <c r="G9" s="38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</row>
    <row r="10" customFormat="false" ht="16.5" hidden="false" customHeight="true" outlineLevel="0" collapsed="false">
      <c r="A10" s="35" t="n">
        <f aca="false">IF(C10="","",ROW()-5)</f>
        <v>5</v>
      </c>
      <c r="B10" s="35" t="s">
        <v>292</v>
      </c>
      <c r="C10" s="43" t="s">
        <v>293</v>
      </c>
      <c r="D10" s="36" t="s">
        <v>25</v>
      </c>
      <c r="E10" s="37" t="n">
        <v>46406</v>
      </c>
      <c r="F10" s="35" t="n">
        <f aca="true">IFERROR(IF(ISNUMBER(E10),E10-TODAY(),DATE(VALUE(RIGHT(E10,4)),VALUE(MID(E10,4,2)),VALUE(LEFT(E10,2)))-TODAY()),"—")</f>
        <v>137</v>
      </c>
      <c r="G10" s="35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</row>
    <row r="11" customFormat="false" ht="15" hidden="false" customHeight="true" outlineLevel="0" collapsed="false">
      <c r="A11" s="35" t="n">
        <f aca="false">IF(C11="","",ROW()-5)</f>
        <v>6</v>
      </c>
      <c r="B11" s="38" t="s">
        <v>294</v>
      </c>
      <c r="C11" s="45" t="s">
        <v>295</v>
      </c>
      <c r="D11" s="38" t="s">
        <v>25</v>
      </c>
      <c r="E11" s="39" t="s">
        <v>48</v>
      </c>
      <c r="F11" s="38" t="n">
        <f aca="true">IFERROR(IF(ISNUMBER(E11),E11-TODAY(),DATE(VALUE(RIGHT(E11,4)),VALUE(MID(E11,4,2)),VALUE(LEFT(E11,2)))-TODAY()),"—")</f>
        <v>146</v>
      </c>
      <c r="G11" s="38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/>
      <c r="W11" s="1"/>
      <c r="X11" s="1"/>
      <c r="Y11" s="1"/>
      <c r="Z11" s="1"/>
    </row>
    <row r="12" customFormat="false" ht="15" hidden="false" customHeight="true" outlineLevel="0" collapsed="false">
      <c r="A12" s="35" t="n">
        <f aca="false">IF(C12="","",ROW()-5)</f>
        <v>7</v>
      </c>
      <c r="B12" s="35" t="s">
        <v>296</v>
      </c>
      <c r="C12" s="43" t="s">
        <v>297</v>
      </c>
      <c r="D12" s="36" t="s">
        <v>25</v>
      </c>
      <c r="E12" s="37" t="s">
        <v>48</v>
      </c>
      <c r="F12" s="36" t="n">
        <f aca="true">IFERROR(IF(ISNUMBER(E12),E12-TODAY(),DATE(VALUE(RIGHT(E12,4)),VALUE(MID(E12,4,2)),VALUE(LEFT(E12,2)))-TODAY()),"—")</f>
        <v>146</v>
      </c>
      <c r="G12" s="35"/>
      <c r="H12" s="1"/>
      <c r="I12" s="1"/>
      <c r="J12" s="1"/>
      <c r="K12" s="1"/>
      <c r="L12" s="1"/>
      <c r="M12" s="1"/>
      <c r="N12" s="1"/>
      <c r="O12" s="1"/>
      <c r="P12" s="1"/>
      <c r="Q12" s="1"/>
      <c r="R12" s="1"/>
      <c r="S12" s="1"/>
      <c r="T12" s="1"/>
      <c r="U12" s="1"/>
      <c r="V12" s="1"/>
      <c r="W12" s="1"/>
      <c r="X12" s="1"/>
      <c r="Y12" s="1"/>
      <c r="Z12" s="1"/>
    </row>
    <row r="13" customFormat="false" ht="15" hidden="false" customHeight="true" outlineLevel="0" collapsed="false">
      <c r="A13" s="35" t="n">
        <f aca="false">IF(C13="","",ROW()-5)</f>
        <v>8</v>
      </c>
      <c r="B13" s="38" t="s">
        <v>298</v>
      </c>
      <c r="C13" s="45" t="s">
        <v>299</v>
      </c>
      <c r="D13" s="38" t="s">
        <v>20</v>
      </c>
      <c r="E13" s="39"/>
      <c r="F13" s="38" t="str">
        <f aca="true">IFERROR(IF(ISNUMBER(E13),E13-TODAY(),DATE(VALUE(RIGHT(E13,4)),VALUE(MID(E13,4,2)),VALUE(LEFT(E13,2)))-TODAY()),"—")</f>
        <v>—</v>
      </c>
      <c r="G13" s="38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</row>
    <row r="14" customFormat="false" ht="15" hidden="false" customHeight="true" outlineLevel="0" collapsed="false">
      <c r="A14" s="35" t="str">
        <f aca="false">IF(C14="","",ROW()-5)</f>
        <v/>
      </c>
      <c r="B14" s="35"/>
      <c r="C14" s="43"/>
      <c r="D14" s="36"/>
      <c r="E14" s="37"/>
      <c r="F14" s="36" t="str">
        <f aca="true">IFERROR(IF(ISNUMBER(E14),E14-TODAY(),DATE(VALUE(RIGHT(E14,4)),VALUE(MID(E14,4,2)),VALUE(LEFT(E14,2)))-TODAY()),"—")</f>
        <v>—</v>
      </c>
      <c r="G14" s="35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</row>
    <row r="15" customFormat="false" ht="15" hidden="false" customHeight="true" outlineLevel="0" collapsed="false">
      <c r="A15" s="35" t="str">
        <f aca="false">IF(C15="","",ROW()-5)</f>
        <v/>
      </c>
      <c r="B15" s="38"/>
      <c r="C15" s="45"/>
      <c r="D15" s="38"/>
      <c r="E15" s="39"/>
      <c r="F15" s="38" t="str">
        <f aca="true">IFERROR(IF(ISNUMBER(E15),E15-TODAY(),DATE(VALUE(RIGHT(E15,4)),VALUE(MID(E15,4,2)),VALUE(LEFT(E15,2)))-TODAY()),"—")</f>
        <v>—</v>
      </c>
      <c r="G15" s="38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</row>
    <row r="16" customFormat="false" ht="15" hidden="false" customHeight="true" outlineLevel="0" collapsed="false">
      <c r="A16" s="35" t="str">
        <f aca="false">IF(C16="","",ROW()-5)</f>
        <v/>
      </c>
      <c r="B16" s="35"/>
      <c r="C16" s="43"/>
      <c r="D16" s="36"/>
      <c r="E16" s="37"/>
      <c r="F16" s="36" t="str">
        <f aca="true">IFERROR(IF(ISNUMBER(E16),E16-TODAY(),DATE(VALUE(RIGHT(E16,4)),VALUE(MID(E16,4,2)),VALUE(LEFT(E16,2)))-TODAY()),"—")</f>
        <v>—</v>
      </c>
      <c r="G16" s="35"/>
      <c r="H16" s="1"/>
      <c r="I16" s="1"/>
      <c r="J16" s="1"/>
      <c r="K16" s="1"/>
      <c r="L16" s="1"/>
      <c r="M16" s="1"/>
      <c r="N16" s="1"/>
      <c r="O16" s="1"/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</row>
    <row r="17" customFormat="false" ht="15" hidden="false" customHeight="true" outlineLevel="0" collapsed="false">
      <c r="A17" s="35" t="str">
        <f aca="false">IF(C17="","",ROW()-5)</f>
        <v/>
      </c>
      <c r="B17" s="38"/>
      <c r="C17" s="45"/>
      <c r="D17" s="38"/>
      <c r="E17" s="39"/>
      <c r="F17" s="38" t="str">
        <f aca="true">IFERROR(IF(ISNUMBER(E17),E17-TODAY(),DATE(VALUE(RIGHT(E17,4)),VALUE(MID(E17,4,2)),VALUE(LEFT(E17,2)))-TODAY()),"—")</f>
        <v>—</v>
      </c>
      <c r="G17" s="38"/>
      <c r="H17" s="1"/>
      <c r="I17" s="1"/>
      <c r="J17" s="1"/>
      <c r="K17" s="1"/>
      <c r="L17" s="1"/>
      <c r="M17" s="1"/>
      <c r="N17" s="1"/>
      <c r="O17" s="1"/>
      <c r="P17" s="1"/>
      <c r="Q17" s="1"/>
      <c r="R17" s="1"/>
      <c r="S17" s="1"/>
      <c r="T17" s="1"/>
      <c r="U17" s="1"/>
      <c r="V17" s="1"/>
      <c r="W17" s="1"/>
      <c r="X17" s="1"/>
      <c r="Y17" s="1"/>
      <c r="Z17" s="1"/>
    </row>
    <row r="18" customFormat="false" ht="15" hidden="false" customHeight="true" outlineLevel="0" collapsed="false">
      <c r="A18" s="35" t="str">
        <f aca="false">IF(C18="","",ROW()-5)</f>
        <v/>
      </c>
      <c r="B18" s="35"/>
      <c r="C18" s="43"/>
      <c r="D18" s="36"/>
      <c r="E18" s="37"/>
      <c r="F18" s="36" t="str">
        <f aca="true">IFERROR(IF(ISNUMBER(E18),E18-TODAY(),DATE(VALUE(RIGHT(E18,4)),VALUE(MID(E18,4,2)),VALUE(LEFT(E18,2)))-TODAY()),"—")</f>
        <v>—</v>
      </c>
      <c r="G18" s="35"/>
      <c r="H18" s="1"/>
      <c r="I18" s="1"/>
      <c r="J18" s="1"/>
      <c r="K18" s="1"/>
      <c r="L18" s="1"/>
      <c r="M18" s="1"/>
      <c r="N18" s="1"/>
      <c r="O18" s="1"/>
      <c r="P18" s="1"/>
      <c r="Q18" s="1"/>
      <c r="R18" s="1"/>
      <c r="S18" s="1"/>
      <c r="T18" s="1"/>
      <c r="U18" s="1"/>
      <c r="V18" s="1"/>
      <c r="W18" s="1"/>
      <c r="X18" s="1"/>
      <c r="Y18" s="1"/>
      <c r="Z18" s="1"/>
    </row>
    <row r="19" customFormat="false" ht="15" hidden="false" customHeight="true" outlineLevel="0" collapsed="false">
      <c r="A19" s="35" t="str">
        <f aca="false">IF(C19="","",ROW()-5)</f>
        <v/>
      </c>
      <c r="B19" s="38"/>
      <c r="C19" s="45"/>
      <c r="D19" s="38"/>
      <c r="E19" s="39"/>
      <c r="F19" s="38" t="str">
        <f aca="true">IFERROR(IF(ISNUMBER(E19),E19-TODAY(),DATE(VALUE(RIGHT(E19,4)),VALUE(MID(E19,4,2)),VALUE(LEFT(E19,2)))-TODAY()),"—")</f>
        <v>—</v>
      </c>
      <c r="G19" s="38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</row>
    <row r="20" customFormat="false" ht="15" hidden="false" customHeight="true" outlineLevel="0" collapsed="false">
      <c r="A20" s="35" t="str">
        <f aca="false">IF(C20="","",ROW()-5)</f>
        <v/>
      </c>
      <c r="B20" s="35"/>
      <c r="C20" s="43"/>
      <c r="D20" s="36"/>
      <c r="E20" s="37"/>
      <c r="F20" s="36" t="str">
        <f aca="true">IFERROR(IF(ISNUMBER(E20),E20-TODAY(),DATE(VALUE(RIGHT(E20,4)),VALUE(MID(E20,4,2)),VALUE(LEFT(E20,2)))-TODAY()),"—")</f>
        <v>—</v>
      </c>
      <c r="G20" s="35"/>
      <c r="H20" s="1"/>
      <c r="I20" s="1"/>
      <c r="J20" s="1"/>
      <c r="K20" s="1"/>
      <c r="L20" s="1"/>
      <c r="M20" s="1"/>
      <c r="N20" s="1"/>
      <c r="O20" s="1"/>
      <c r="P20" s="1"/>
      <c r="Q20" s="1"/>
      <c r="R20" s="1"/>
      <c r="S20" s="1"/>
      <c r="T20" s="1"/>
      <c r="U20" s="1"/>
      <c r="V20" s="1"/>
      <c r="W20" s="1"/>
      <c r="X20" s="1"/>
      <c r="Y20" s="1"/>
      <c r="Z20" s="1"/>
    </row>
    <row r="21" customFormat="false" ht="15.75" hidden="false" customHeight="true" outlineLevel="0" collapsed="false">
      <c r="H21" s="1"/>
      <c r="I21" s="1"/>
      <c r="J21" s="1"/>
      <c r="K21" s="1"/>
      <c r="L21" s="1"/>
      <c r="M21" s="1"/>
      <c r="N21" s="1"/>
      <c r="O21" s="1"/>
      <c r="P21" s="1"/>
      <c r="Q21" s="1"/>
      <c r="R21" s="1"/>
      <c r="S21" s="1"/>
      <c r="T21" s="1"/>
      <c r="U21" s="1"/>
      <c r="V21" s="1"/>
      <c r="W21" s="1"/>
      <c r="X21" s="1"/>
      <c r="Y21" s="1"/>
      <c r="Z21" s="1"/>
    </row>
    <row r="22" customFormat="false" ht="15.75" hidden="false" customHeight="true" outlineLevel="0" collapsed="false">
      <c r="H22" s="1"/>
      <c r="I22" s="1"/>
      <c r="J22" s="1"/>
      <c r="K22" s="1"/>
      <c r="L22" s="1"/>
      <c r="M22" s="1"/>
      <c r="N22" s="1"/>
      <c r="O22" s="1"/>
      <c r="P22" s="1"/>
      <c r="Q22" s="1"/>
      <c r="R22" s="1"/>
      <c r="S22" s="1"/>
      <c r="T22" s="1"/>
      <c r="U22" s="1"/>
      <c r="V22" s="1"/>
      <c r="W22" s="1"/>
      <c r="X22" s="1"/>
      <c r="Y22" s="1"/>
      <c r="Z22" s="1"/>
    </row>
    <row r="23" customFormat="false" ht="15.75" hidden="false" customHeight="true" outlineLevel="0" collapsed="false"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/>
      <c r="X23" s="1"/>
      <c r="Y23" s="1"/>
      <c r="Z23" s="1"/>
    </row>
    <row r="24" customFormat="false" ht="15.75" hidden="false" customHeight="true" outlineLevel="0" collapsed="false">
      <c r="H24" s="1"/>
      <c r="I24" s="1"/>
      <c r="J24" s="1"/>
      <c r="K24" s="1"/>
      <c r="L24" s="1"/>
      <c r="M24" s="1"/>
      <c r="N24" s="1"/>
      <c r="O24" s="1"/>
      <c r="P24" s="1"/>
      <c r="Q24" s="1"/>
      <c r="R24" s="1"/>
      <c r="S24" s="1"/>
      <c r="T24" s="1"/>
      <c r="U24" s="1"/>
      <c r="V24" s="1"/>
      <c r="W24" s="1"/>
      <c r="X24" s="1"/>
      <c r="Y24" s="1"/>
      <c r="Z24" s="1"/>
    </row>
    <row r="25" customFormat="false" ht="15.75" hidden="false" customHeight="true" outlineLevel="0" collapsed="false">
      <c r="H25" s="1"/>
      <c r="I25" s="1"/>
      <c r="J25" s="1"/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</row>
    <row r="26" customFormat="false" ht="15.75" hidden="false" customHeight="true" outlineLevel="0" collapsed="false"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</row>
    <row r="27" customFormat="false" ht="15.75" hidden="false" customHeight="true" outlineLevel="0" collapsed="false">
      <c r="H27" s="1"/>
      <c r="I27" s="1"/>
      <c r="J27" s="1"/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</row>
    <row r="28" customFormat="false" ht="15.75" hidden="false" customHeight="true" outlineLevel="0" collapsed="false">
      <c r="H28" s="1"/>
      <c r="I28" s="1"/>
      <c r="J28" s="1"/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</row>
    <row r="29" customFormat="false" ht="15.75" hidden="false" customHeight="true" outlineLevel="0" collapsed="false"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</row>
    <row r="30" customFormat="false" ht="15.75" hidden="false" customHeight="true" outlineLevel="0" collapsed="false">
      <c r="H30" s="1"/>
      <c r="I30" s="1"/>
      <c r="J30" s="1"/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</row>
    <row r="31" customFormat="false" ht="15.75" hidden="false" customHeight="true" outlineLevel="0" collapsed="false">
      <c r="H31" s="1"/>
      <c r="I31" s="1"/>
      <c r="J31" s="1"/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</row>
    <row r="32" customFormat="false" ht="15.75" hidden="false" customHeight="true" outlineLevel="0" collapsed="false"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</row>
    <row r="33" customFormat="false" ht="15.75" hidden="false" customHeight="true" outlineLevel="0" collapsed="false">
      <c r="H33" s="1"/>
      <c r="I33" s="1"/>
      <c r="J33" s="1"/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</row>
    <row r="34" customFormat="false" ht="15.75" hidden="false" customHeight="true" outlineLevel="0" collapsed="false">
      <c r="H34" s="1"/>
      <c r="I34" s="1"/>
      <c r="J34" s="1"/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</row>
    <row r="35" customFormat="false" ht="15.75" hidden="false" customHeight="true" outlineLevel="0" collapsed="false">
      <c r="H35" s="1"/>
      <c r="I35" s="1"/>
      <c r="J35" s="1"/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</row>
    <row r="36" customFormat="false" ht="15.75" hidden="false" customHeight="true" outlineLevel="0" collapsed="false">
      <c r="H36" s="1"/>
      <c r="I36" s="1"/>
      <c r="J36" s="1"/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</row>
    <row r="37" customFormat="false" ht="15.75" hidden="false" customHeight="true" outlineLevel="0" collapsed="false"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</row>
    <row r="38" customFormat="false" ht="15.75" hidden="false" customHeight="true" outlineLevel="0" collapsed="false">
      <c r="H38" s="1"/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</row>
    <row r="39" customFormat="false" ht="15.75" hidden="false" customHeight="true" outlineLevel="0" collapsed="false"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</row>
    <row r="40" customFormat="false" ht="15.75" hidden="false" customHeight="true" outlineLevel="0" collapsed="false"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</row>
    <row r="41" customFormat="false" ht="15.75" hidden="false" customHeight="true" outlineLevel="0" collapsed="false">
      <c r="H41" s="1"/>
      <c r="I41" s="1"/>
      <c r="J41" s="1"/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</row>
    <row r="42" customFormat="false" ht="15.75" hidden="false" customHeight="true" outlineLevel="0" collapsed="false"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</row>
    <row r="43" customFormat="false" ht="15.75" hidden="false" customHeight="true" outlineLevel="0" collapsed="false"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</row>
    <row r="44" customFormat="false" ht="15.75" hidden="false" customHeight="true" outlineLevel="0" collapsed="false">
      <c r="H44" s="1"/>
      <c r="I44" s="1"/>
      <c r="J44" s="1"/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</row>
    <row r="45" customFormat="false" ht="15.75" hidden="false" customHeight="true" outlineLevel="0" collapsed="false"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</row>
    <row r="46" customFormat="false" ht="15.75" hidden="false" customHeight="true" outlineLevel="0" collapsed="false">
      <c r="H46" s="1"/>
      <c r="I46" s="1"/>
      <c r="J46" s="1"/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</row>
    <row r="47" customFormat="false" ht="15.75" hidden="false" customHeight="true" outlineLevel="0" collapsed="false"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</row>
    <row r="48" customFormat="false" ht="15.75" hidden="false" customHeight="true" outlineLevel="0" collapsed="false"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</row>
    <row r="49" customFormat="false" ht="15.75" hidden="false" customHeight="true" outlineLevel="0" collapsed="false"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</row>
    <row r="50" customFormat="false" ht="15.75" hidden="false" customHeight="true" outlineLevel="0" collapsed="false"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</row>
    <row r="51" customFormat="false" ht="15.75" hidden="false" customHeight="true" outlineLevel="0" collapsed="false"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</row>
    <row r="52" customFormat="false" ht="15.75" hidden="false" customHeight="true" outlineLevel="0" collapsed="false"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</row>
    <row r="53" customFormat="false" ht="15.75" hidden="false" customHeight="true" outlineLevel="0" collapsed="false"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</row>
    <row r="54" customFormat="false" ht="15.75" hidden="false" customHeight="true" outlineLevel="0" collapsed="false">
      <c r="H54" s="1"/>
      <c r="I54" s="1"/>
      <c r="J54" s="1"/>
      <c r="K54" s="1"/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</row>
    <row r="55" customFormat="false" ht="15.75" hidden="false" customHeight="true" outlineLevel="0" collapsed="false"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/>
      <c r="Y55" s="1"/>
      <c r="Z55" s="1"/>
    </row>
    <row r="56" customFormat="false" ht="15.75" hidden="false" customHeight="true" outlineLevel="0" collapsed="false"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</row>
    <row r="57" customFormat="false" ht="15.75" hidden="false" customHeight="true" outlineLevel="0" collapsed="false">
      <c r="H57" s="1"/>
      <c r="I57" s="1"/>
      <c r="J57" s="1"/>
      <c r="K57" s="1"/>
      <c r="L57" s="1"/>
      <c r="M57" s="1"/>
      <c r="N57" s="1"/>
      <c r="O57" s="1"/>
      <c r="P57" s="1"/>
      <c r="Q57" s="1"/>
      <c r="R57" s="1"/>
      <c r="S57" s="1"/>
      <c r="T57" s="1"/>
      <c r="U57" s="1"/>
      <c r="V57" s="1"/>
      <c r="W57" s="1"/>
      <c r="X57" s="1"/>
      <c r="Y57" s="1"/>
      <c r="Z57" s="1"/>
    </row>
    <row r="58" customFormat="false" ht="15.75" hidden="false" customHeight="true" outlineLevel="0" collapsed="false"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</row>
    <row r="59" customFormat="false" ht="15.75" hidden="false" customHeight="true" outlineLevel="0" collapsed="false"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</row>
    <row r="60" customFormat="false" ht="15.75" hidden="false" customHeight="true" outlineLevel="0" collapsed="false"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</row>
    <row r="61" customFormat="false" ht="15.75" hidden="false" customHeight="true" outlineLevel="0" collapsed="false"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</row>
    <row r="62" customFormat="false" ht="15.75" hidden="false" customHeight="true" outlineLevel="0" collapsed="false"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</row>
    <row r="63" customFormat="false" ht="15.75" hidden="false" customHeight="true" outlineLevel="0" collapsed="false">
      <c r="H63" s="1"/>
      <c r="I63" s="1"/>
      <c r="J63" s="1"/>
      <c r="K63" s="1"/>
      <c r="L63" s="1"/>
      <c r="M63" s="1"/>
      <c r="N63" s="1"/>
      <c r="O63" s="1"/>
      <c r="P63" s="1"/>
      <c r="Q63" s="1"/>
      <c r="R63" s="1"/>
      <c r="S63" s="1"/>
      <c r="T63" s="1"/>
      <c r="U63" s="1"/>
      <c r="V63" s="1"/>
      <c r="W63" s="1"/>
      <c r="X63" s="1"/>
      <c r="Y63" s="1"/>
      <c r="Z63" s="1"/>
    </row>
    <row r="64" customFormat="false" ht="15.75" hidden="false" customHeight="true" outlineLevel="0" collapsed="false">
      <c r="H64" s="1"/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</row>
    <row r="65" customFormat="false" ht="15.75" hidden="false" customHeight="true" outlineLevel="0" collapsed="false"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</row>
    <row r="66" customFormat="false" ht="15.75" hidden="false" customHeight="true" outlineLevel="0" collapsed="false"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</row>
    <row r="67" customFormat="false" ht="15.75" hidden="false" customHeight="true" outlineLevel="0" collapsed="false"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</row>
    <row r="68" customFormat="false" ht="15.75" hidden="false" customHeight="true" outlineLevel="0" collapsed="false"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</row>
    <row r="69" customFormat="false" ht="15.75" hidden="false" customHeight="true" outlineLevel="0" collapsed="false">
      <c r="H69" s="1"/>
      <c r="I69" s="1"/>
      <c r="J69" s="1"/>
      <c r="K69" s="1"/>
      <c r="L69" s="1"/>
      <c r="M69" s="1"/>
      <c r="N69" s="1"/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</row>
    <row r="70" customFormat="false" ht="15.75" hidden="false" customHeight="true" outlineLevel="0" collapsed="false"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</row>
    <row r="71" customFormat="false" ht="15.75" hidden="false" customHeight="true" outlineLevel="0" collapsed="false"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</row>
    <row r="72" customFormat="false" ht="15.75" hidden="false" customHeight="true" outlineLevel="0" collapsed="false"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  <c r="V72" s="1"/>
      <c r="W72" s="1"/>
      <c r="X72" s="1"/>
      <c r="Y72" s="1"/>
      <c r="Z72" s="1"/>
    </row>
    <row r="73" customFormat="false" ht="15.75" hidden="false" customHeight="true" outlineLevel="0" collapsed="false"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  <c r="V73" s="1"/>
      <c r="W73" s="1"/>
      <c r="X73" s="1"/>
      <c r="Y73" s="1"/>
      <c r="Z73" s="1"/>
    </row>
    <row r="74" customFormat="false" ht="15.75" hidden="false" customHeight="true" outlineLevel="0" collapsed="false"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  <c r="V74" s="1"/>
      <c r="W74" s="1"/>
      <c r="X74" s="1"/>
      <c r="Y74" s="1"/>
      <c r="Z74" s="1"/>
    </row>
    <row r="75" customFormat="false" ht="15.75" hidden="false" customHeight="true" outlineLevel="0" collapsed="false"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</row>
    <row r="76" customFormat="false" ht="15.75" hidden="false" customHeight="true" outlineLevel="0" collapsed="false"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</row>
    <row r="77" customFormat="false" ht="15.75" hidden="false" customHeight="true" outlineLevel="0" collapsed="false"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/>
      <c r="Z77" s="1"/>
    </row>
    <row r="78" customFormat="false" ht="15.75" hidden="false" customHeight="true" outlineLevel="0" collapsed="false">
      <c r="H78" s="1"/>
      <c r="I78" s="1"/>
      <c r="J78" s="1"/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  <c r="V78" s="1"/>
      <c r="W78" s="1"/>
      <c r="X78" s="1"/>
      <c r="Y78" s="1"/>
      <c r="Z78" s="1"/>
    </row>
    <row r="79" customFormat="false" ht="15.75" hidden="false" customHeight="true" outlineLevel="0" collapsed="false"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</row>
    <row r="80" customFormat="false" ht="15.75" hidden="false" customHeight="true" outlineLevel="0" collapsed="false"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</row>
    <row r="81" customFormat="false" ht="15.75" hidden="false" customHeight="true" outlineLevel="0" collapsed="false">
      <c r="H81" s="1"/>
      <c r="I81" s="1"/>
      <c r="J81" s="1"/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</row>
    <row r="82" customFormat="false" ht="15.75" hidden="false" customHeight="true" outlineLevel="0" collapsed="false"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</row>
    <row r="83" customFormat="false" ht="15.75" hidden="false" customHeight="true" outlineLevel="0" collapsed="false"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</row>
    <row r="84" customFormat="false" ht="15.75" hidden="false" customHeight="true" outlineLevel="0" collapsed="false"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</row>
    <row r="85" customFormat="false" ht="15.75" hidden="false" customHeight="true" outlineLevel="0" collapsed="false"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</row>
    <row r="86" customFormat="false" ht="15.75" hidden="false" customHeight="true" outlineLevel="0" collapsed="false"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/>
      <c r="Z86" s="1"/>
    </row>
    <row r="87" customFormat="false" ht="15.75" hidden="false" customHeight="true" outlineLevel="0" collapsed="false"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</row>
    <row r="88" customFormat="false" ht="15.75" hidden="false" customHeight="true" outlineLevel="0" collapsed="false"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</row>
    <row r="89" customFormat="false" ht="15.75" hidden="false" customHeight="true" outlineLevel="0" collapsed="false"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</row>
    <row r="90" customFormat="false" ht="15.75" hidden="false" customHeight="true" outlineLevel="0" collapsed="false"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</row>
    <row r="91" customFormat="false" ht="15.75" hidden="false" customHeight="true" outlineLevel="0" collapsed="false"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</row>
    <row r="92" customFormat="false" ht="15.75" hidden="false" customHeight="true" outlineLevel="0" collapsed="false"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</row>
    <row r="93" customFormat="false" ht="15.75" hidden="false" customHeight="true" outlineLevel="0" collapsed="false"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</row>
    <row r="94" customFormat="false" ht="15.75" hidden="false" customHeight="true" outlineLevel="0" collapsed="false"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</row>
    <row r="95" customFormat="false" ht="15.75" hidden="false" customHeight="true" outlineLevel="0" collapsed="false"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</row>
    <row r="96" customFormat="false" ht="15.75" hidden="false" customHeight="true" outlineLevel="0" collapsed="false"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</row>
    <row r="97" customFormat="false" ht="15.75" hidden="false" customHeight="true" outlineLevel="0" collapsed="false"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  <c r="V97" s="1"/>
      <c r="W97" s="1"/>
      <c r="X97" s="1"/>
      <c r="Y97" s="1"/>
      <c r="Z97" s="1"/>
    </row>
    <row r="98" customFormat="false" ht="15.75" hidden="false" customHeight="true" outlineLevel="0" collapsed="false"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</row>
    <row r="99" customFormat="false" ht="15.75" hidden="false" customHeight="true" outlineLevel="0" collapsed="false"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/>
    </row>
    <row r="100" customFormat="false" ht="15.75" hidden="false" customHeight="true" outlineLevel="0" collapsed="false"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/>
      <c r="Y100" s="1"/>
      <c r="Z100" s="1"/>
    </row>
    <row r="101" customFormat="false" ht="15.75" hidden="false" customHeight="true" outlineLevel="0" collapsed="false"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</row>
    <row r="102" customFormat="false" ht="15.75" hidden="false" customHeight="true" outlineLevel="0" collapsed="false"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</row>
    <row r="103" customFormat="false" ht="15.75" hidden="false" customHeight="true" outlineLevel="0" collapsed="false"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  <c r="V103" s="1"/>
      <c r="W103" s="1"/>
      <c r="X103" s="1"/>
      <c r="Y103" s="1"/>
      <c r="Z103" s="1"/>
    </row>
    <row r="104" customFormat="false" ht="15.75" hidden="false" customHeight="true" outlineLevel="0" collapsed="false"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</row>
    <row r="105" customFormat="false" ht="15.75" hidden="false" customHeight="true" outlineLevel="0" collapsed="false"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</row>
    <row r="106" customFormat="false" ht="15.75" hidden="false" customHeight="true" outlineLevel="0" collapsed="false"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</row>
    <row r="107" customFormat="false" ht="15.75" hidden="false" customHeight="true" outlineLevel="0" collapsed="false"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</row>
    <row r="108" customFormat="false" ht="15.75" hidden="false" customHeight="true" outlineLevel="0" collapsed="false"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  <c r="V108" s="1"/>
      <c r="W108" s="1"/>
      <c r="X108" s="1"/>
      <c r="Y108" s="1"/>
      <c r="Z108" s="1"/>
    </row>
    <row r="109" customFormat="false" ht="15.75" hidden="false" customHeight="true" outlineLevel="0" collapsed="false"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</row>
    <row r="110" customFormat="false" ht="15.75" hidden="false" customHeight="true" outlineLevel="0" collapsed="false"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</row>
    <row r="111" customFormat="false" ht="15.75" hidden="false" customHeight="true" outlineLevel="0" collapsed="false"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</row>
    <row r="112" customFormat="false" ht="15.75" hidden="false" customHeight="true" outlineLevel="0" collapsed="false"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</row>
    <row r="113" customFormat="false" ht="15.75" hidden="false" customHeight="true" outlineLevel="0" collapsed="false"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</row>
    <row r="114" customFormat="false" ht="15.75" hidden="false" customHeight="true" outlineLevel="0" collapsed="false"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  <c r="V114" s="1"/>
      <c r="W114" s="1"/>
      <c r="X114" s="1"/>
      <c r="Y114" s="1"/>
      <c r="Z114" s="1"/>
    </row>
    <row r="115" customFormat="false" ht="15.75" hidden="false" customHeight="true" outlineLevel="0" collapsed="false"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</row>
    <row r="116" customFormat="false" ht="15.75" hidden="false" customHeight="true" outlineLevel="0" collapsed="false"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</row>
    <row r="117" customFormat="false" ht="15.75" hidden="false" customHeight="true" outlineLevel="0" collapsed="false"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</row>
    <row r="118" customFormat="false" ht="15.75" hidden="false" customHeight="true" outlineLevel="0" collapsed="false"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  <c r="V118" s="1"/>
      <c r="W118" s="1"/>
      <c r="X118" s="1"/>
      <c r="Y118" s="1"/>
      <c r="Z118" s="1"/>
    </row>
    <row r="119" customFormat="false" ht="15.75" hidden="false" customHeight="true" outlineLevel="0" collapsed="false"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/>
      <c r="X119" s="1"/>
      <c r="Y119" s="1"/>
      <c r="Z119" s="1"/>
    </row>
    <row r="120" customFormat="false" ht="15.75" hidden="false" customHeight="true" outlineLevel="0" collapsed="false">
      <c r="H120" s="1"/>
      <c r="I120" s="1"/>
      <c r="J120" s="1"/>
      <c r="K120" s="1"/>
      <c r="L120" s="1"/>
      <c r="M120" s="1"/>
      <c r="N120" s="1"/>
      <c r="O120" s="1"/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</row>
    <row r="121" customFormat="false" ht="15.75" hidden="false" customHeight="true" outlineLevel="0" collapsed="false"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</row>
    <row r="122" customFormat="false" ht="15.75" hidden="false" customHeight="true" outlineLevel="0" collapsed="false"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</row>
    <row r="123" customFormat="false" ht="15.75" hidden="false" customHeight="true" outlineLevel="0" collapsed="false"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  <c r="V123" s="1"/>
      <c r="W123" s="1"/>
      <c r="X123" s="1"/>
      <c r="Y123" s="1"/>
      <c r="Z123" s="1"/>
    </row>
    <row r="124" customFormat="false" ht="15.75" hidden="false" customHeight="true" outlineLevel="0" collapsed="false"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  <c r="V124" s="1"/>
      <c r="W124" s="1"/>
      <c r="X124" s="1"/>
      <c r="Y124" s="1"/>
      <c r="Z124" s="1"/>
    </row>
    <row r="125" customFormat="false" ht="15.75" hidden="false" customHeight="true" outlineLevel="0" collapsed="false"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</row>
    <row r="126" customFormat="false" ht="15.75" hidden="false" customHeight="true" outlineLevel="0" collapsed="false"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</row>
    <row r="127" customFormat="false" ht="15.75" hidden="false" customHeight="true" outlineLevel="0" collapsed="false"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</row>
    <row r="128" customFormat="false" ht="15.75" hidden="false" customHeight="true" outlineLevel="0" collapsed="false"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</row>
    <row r="129" customFormat="false" ht="15.75" hidden="false" customHeight="true" outlineLevel="0" collapsed="false"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  <c r="V129" s="1"/>
      <c r="W129" s="1"/>
      <c r="X129" s="1"/>
      <c r="Y129" s="1"/>
      <c r="Z129" s="1"/>
    </row>
    <row r="130" customFormat="false" ht="15.75" hidden="false" customHeight="true" outlineLevel="0" collapsed="false"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</row>
    <row r="131" customFormat="false" ht="15.75" hidden="false" customHeight="true" outlineLevel="0" collapsed="false"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</row>
    <row r="132" customFormat="false" ht="15.75" hidden="false" customHeight="true" outlineLevel="0" collapsed="false"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</row>
    <row r="133" customFormat="false" ht="15.75" hidden="false" customHeight="true" outlineLevel="0" collapsed="false"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</row>
    <row r="134" customFormat="false" ht="15.75" hidden="false" customHeight="true" outlineLevel="0" collapsed="false"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</row>
    <row r="135" customFormat="false" ht="15.75" hidden="false" customHeight="true" outlineLevel="0" collapsed="false"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</row>
    <row r="136" customFormat="false" ht="15.75" hidden="false" customHeight="true" outlineLevel="0" collapsed="false"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</row>
    <row r="137" customFormat="false" ht="15.75" hidden="false" customHeight="true" outlineLevel="0" collapsed="false"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/>
      <c r="U137" s="1"/>
      <c r="V137" s="1"/>
      <c r="W137" s="1"/>
      <c r="X137" s="1"/>
      <c r="Y137" s="1"/>
      <c r="Z137" s="1"/>
    </row>
    <row r="138" customFormat="false" ht="15.75" hidden="false" customHeight="true" outlineLevel="0" collapsed="false"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</row>
    <row r="139" customFormat="false" ht="15.75" hidden="false" customHeight="true" outlineLevel="0" collapsed="false"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</row>
    <row r="140" customFormat="false" ht="15.75" hidden="false" customHeight="true" outlineLevel="0" collapsed="false"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  <c r="V140" s="1"/>
      <c r="W140" s="1"/>
      <c r="X140" s="1"/>
      <c r="Y140" s="1"/>
      <c r="Z140" s="1"/>
    </row>
    <row r="141" customFormat="false" ht="15.75" hidden="false" customHeight="true" outlineLevel="0" collapsed="false"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/>
      <c r="U141" s="1"/>
      <c r="V141" s="1"/>
      <c r="W141" s="1"/>
      <c r="X141" s="1"/>
      <c r="Y141" s="1"/>
      <c r="Z141" s="1"/>
    </row>
    <row r="142" customFormat="false" ht="15.75" hidden="false" customHeight="true" outlineLevel="0" collapsed="false"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</row>
    <row r="143" customFormat="false" ht="15.75" hidden="false" customHeight="true" outlineLevel="0" collapsed="false"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</row>
    <row r="144" customFormat="false" ht="15.75" hidden="false" customHeight="true" outlineLevel="0" collapsed="false">
      <c r="H144" s="1"/>
      <c r="I144" s="1"/>
      <c r="J144" s="1"/>
      <c r="K144" s="1"/>
      <c r="L144" s="1"/>
      <c r="M144" s="1"/>
      <c r="N144" s="1"/>
      <c r="O144" s="1"/>
      <c r="P144" s="1"/>
      <c r="Q144" s="1"/>
      <c r="R144" s="1"/>
      <c r="S144" s="1"/>
      <c r="T144" s="1"/>
      <c r="U144" s="1"/>
      <c r="V144" s="1"/>
      <c r="W144" s="1"/>
      <c r="X144" s="1"/>
      <c r="Y144" s="1"/>
      <c r="Z144" s="1"/>
    </row>
    <row r="145" customFormat="false" ht="15.75" hidden="false" customHeight="true" outlineLevel="0" collapsed="false"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</row>
    <row r="146" customFormat="false" ht="15.75" hidden="false" customHeight="true" outlineLevel="0" collapsed="false"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</row>
    <row r="147" customFormat="false" ht="15.75" hidden="false" customHeight="true" outlineLevel="0" collapsed="false"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</row>
    <row r="148" customFormat="false" ht="15.75" hidden="false" customHeight="true" outlineLevel="0" collapsed="false"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</row>
    <row r="149" customFormat="false" ht="15.75" hidden="false" customHeight="true" outlineLevel="0" collapsed="false"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</row>
    <row r="150" customFormat="false" ht="15.75" hidden="false" customHeight="true" outlineLevel="0" collapsed="false"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</row>
    <row r="151" customFormat="false" ht="15.75" hidden="false" customHeight="true" outlineLevel="0" collapsed="false"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  <c r="V151" s="1"/>
      <c r="W151" s="1"/>
      <c r="X151" s="1"/>
      <c r="Y151" s="1"/>
      <c r="Z151" s="1"/>
    </row>
    <row r="152" customFormat="false" ht="15.75" hidden="false" customHeight="true" outlineLevel="0" collapsed="false"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</row>
    <row r="153" customFormat="false" ht="15.75" hidden="false" customHeight="true" outlineLevel="0" collapsed="false"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</row>
    <row r="154" customFormat="false" ht="15.75" hidden="false" customHeight="true" outlineLevel="0" collapsed="false"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</row>
    <row r="155" customFormat="false" ht="15.75" hidden="false" customHeight="true" outlineLevel="0" collapsed="false"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</row>
    <row r="156" customFormat="false" ht="15.75" hidden="false" customHeight="true" outlineLevel="0" collapsed="false"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/>
      <c r="S156" s="1"/>
      <c r="T156" s="1"/>
      <c r="U156" s="1"/>
      <c r="V156" s="1"/>
      <c r="W156" s="1"/>
      <c r="X156" s="1"/>
      <c r="Y156" s="1"/>
      <c r="Z156" s="1"/>
    </row>
    <row r="157" customFormat="false" ht="15.75" hidden="false" customHeight="true" outlineLevel="0" collapsed="false"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  <c r="V157" s="1"/>
      <c r="W157" s="1"/>
      <c r="X157" s="1"/>
      <c r="Y157" s="1"/>
      <c r="Z157" s="1"/>
    </row>
    <row r="158" customFormat="false" ht="15.75" hidden="false" customHeight="true" outlineLevel="0" collapsed="false"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/>
      <c r="X158" s="1"/>
      <c r="Y158" s="1"/>
      <c r="Z158" s="1"/>
    </row>
    <row r="159" customFormat="false" ht="15.75" hidden="false" customHeight="true" outlineLevel="0" collapsed="false"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</row>
    <row r="160" customFormat="false" ht="15.75" hidden="false" customHeight="true" outlineLevel="0" collapsed="false"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</row>
    <row r="161" customFormat="false" ht="15.75" hidden="false" customHeight="true" outlineLevel="0" collapsed="false"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</row>
    <row r="162" customFormat="false" ht="15.75" hidden="false" customHeight="true" outlineLevel="0" collapsed="false"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</row>
    <row r="163" customFormat="false" ht="15.75" hidden="false" customHeight="true" outlineLevel="0" collapsed="false">
      <c r="H163" s="1"/>
      <c r="I163" s="1"/>
      <c r="J163" s="1"/>
      <c r="K163" s="1"/>
      <c r="L163" s="1"/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</row>
    <row r="164" customFormat="false" ht="15.75" hidden="false" customHeight="true" outlineLevel="0" collapsed="false">
      <c r="H164" s="1"/>
      <c r="I164" s="1"/>
      <c r="J164" s="1"/>
      <c r="K164" s="1"/>
      <c r="L164" s="1"/>
      <c r="M164" s="1"/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</row>
    <row r="165" customFormat="false" ht="15.75" hidden="false" customHeight="true" outlineLevel="0" collapsed="false"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</row>
    <row r="166" customFormat="false" ht="15.75" hidden="false" customHeight="true" outlineLevel="0" collapsed="false"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</row>
    <row r="167" customFormat="false" ht="15.75" hidden="false" customHeight="true" outlineLevel="0" collapsed="false"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</row>
    <row r="168" customFormat="false" ht="15.75" hidden="false" customHeight="true" outlineLevel="0" collapsed="false"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/>
      <c r="S168" s="1"/>
      <c r="T168" s="1"/>
      <c r="U168" s="1"/>
      <c r="V168" s="1"/>
      <c r="W168" s="1"/>
      <c r="X168" s="1"/>
      <c r="Y168" s="1"/>
      <c r="Z168" s="1"/>
    </row>
    <row r="169" customFormat="false" ht="15.75" hidden="false" customHeight="true" outlineLevel="0" collapsed="false"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</row>
    <row r="170" customFormat="false" ht="15.75" hidden="false" customHeight="true" outlineLevel="0" collapsed="false">
      <c r="H170" s="1"/>
      <c r="I170" s="1"/>
      <c r="J170" s="1"/>
      <c r="K170" s="1"/>
      <c r="L170" s="1"/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</row>
    <row r="171" customFormat="false" ht="15.75" hidden="false" customHeight="true" outlineLevel="0" collapsed="false"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</row>
    <row r="172" customFormat="false" ht="15.75" hidden="false" customHeight="true" outlineLevel="0" collapsed="false"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</row>
    <row r="173" customFormat="false" ht="15.75" hidden="false" customHeight="true" outlineLevel="0" collapsed="false"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</row>
    <row r="174" customFormat="false" ht="15.75" hidden="false" customHeight="true" outlineLevel="0" collapsed="false"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</row>
    <row r="175" customFormat="false" ht="15.75" hidden="false" customHeight="true" outlineLevel="0" collapsed="false"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/>
      <c r="Z175" s="1"/>
    </row>
    <row r="176" customFormat="false" ht="15.75" hidden="false" customHeight="true" outlineLevel="0" collapsed="false"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</row>
    <row r="177" customFormat="false" ht="15.75" hidden="false" customHeight="true" outlineLevel="0" collapsed="false"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</row>
    <row r="178" customFormat="false" ht="15.75" hidden="false" customHeight="true" outlineLevel="0" collapsed="false"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</row>
    <row r="179" customFormat="false" ht="15.75" hidden="false" customHeight="true" outlineLevel="0" collapsed="false"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/>
      <c r="X179" s="1"/>
      <c r="Y179" s="1"/>
      <c r="Z179" s="1"/>
    </row>
    <row r="180" customFormat="false" ht="15.75" hidden="false" customHeight="true" outlineLevel="0" collapsed="false"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/>
      <c r="V180" s="1"/>
      <c r="W180" s="1"/>
      <c r="X180" s="1"/>
      <c r="Y180" s="1"/>
      <c r="Z180" s="1"/>
    </row>
    <row r="181" customFormat="false" ht="15.75" hidden="false" customHeight="true" outlineLevel="0" collapsed="false"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</row>
    <row r="182" customFormat="false" ht="15.75" hidden="false" customHeight="true" outlineLevel="0" collapsed="false"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</row>
    <row r="183" customFormat="false" ht="15.75" hidden="false" customHeight="true" outlineLevel="0" collapsed="false"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</row>
    <row r="184" customFormat="false" ht="15.75" hidden="false" customHeight="true" outlineLevel="0" collapsed="false"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</row>
    <row r="185" customFormat="false" ht="15.75" hidden="false" customHeight="true" outlineLevel="0" collapsed="false"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</row>
    <row r="186" customFormat="false" ht="15.75" hidden="false" customHeight="true" outlineLevel="0" collapsed="false"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</row>
    <row r="187" customFormat="false" ht="15.75" hidden="false" customHeight="true" outlineLevel="0" collapsed="false"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</row>
    <row r="188" customFormat="false" ht="15.75" hidden="false" customHeight="true" outlineLevel="0" collapsed="false"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</row>
    <row r="189" customFormat="false" ht="15.75" hidden="false" customHeight="true" outlineLevel="0" collapsed="false"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</row>
    <row r="190" customFormat="false" ht="15.75" hidden="false" customHeight="true" outlineLevel="0" collapsed="false"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</row>
    <row r="191" customFormat="false" ht="15.75" hidden="false" customHeight="true" outlineLevel="0" collapsed="false"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</row>
    <row r="192" customFormat="false" ht="15.75" hidden="false" customHeight="true" outlineLevel="0" collapsed="false"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</row>
    <row r="193" customFormat="false" ht="15.75" hidden="false" customHeight="true" outlineLevel="0" collapsed="false"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</row>
    <row r="194" customFormat="false" ht="15.75" hidden="false" customHeight="true" outlineLevel="0" collapsed="false"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</row>
    <row r="195" customFormat="false" ht="15.75" hidden="false" customHeight="true" outlineLevel="0" collapsed="false"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</row>
    <row r="196" customFormat="false" ht="15.75" hidden="false" customHeight="true" outlineLevel="0" collapsed="false"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</row>
    <row r="197" customFormat="false" ht="15.75" hidden="false" customHeight="true" outlineLevel="0" collapsed="false"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</row>
    <row r="198" customFormat="false" ht="15.75" hidden="false" customHeight="true" outlineLevel="0" collapsed="false"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</row>
    <row r="199" customFormat="false" ht="15.75" hidden="false" customHeight="true" outlineLevel="0" collapsed="false"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</row>
    <row r="200" customFormat="false" ht="15.75" hidden="false" customHeight="true" outlineLevel="0" collapsed="false">
      <c r="H200" s="1"/>
      <c r="I200" s="1"/>
      <c r="J200" s="1"/>
      <c r="K200" s="1"/>
      <c r="L200" s="1"/>
      <c r="M200" s="1"/>
      <c r="N200" s="1"/>
      <c r="O200" s="1"/>
      <c r="P200" s="1"/>
      <c r="Q200" s="1"/>
      <c r="R200" s="1"/>
      <c r="S200" s="1"/>
      <c r="T200" s="1"/>
      <c r="U200" s="1"/>
      <c r="V200" s="1"/>
      <c r="W200" s="1"/>
      <c r="X200" s="1"/>
      <c r="Y200" s="1"/>
      <c r="Z200" s="1"/>
    </row>
    <row r="201" customFormat="false" ht="15.75" hidden="false" customHeight="true" outlineLevel="0" collapsed="false">
      <c r="H201" s="1"/>
      <c r="I201" s="1"/>
      <c r="J201" s="1"/>
      <c r="K201" s="1"/>
      <c r="L201" s="1"/>
      <c r="M201" s="1"/>
      <c r="N201" s="1"/>
      <c r="O201" s="1"/>
      <c r="P201" s="1"/>
      <c r="Q201" s="1"/>
      <c r="R201" s="1"/>
      <c r="S201" s="1"/>
      <c r="T201" s="1"/>
      <c r="U201" s="1"/>
      <c r="V201" s="1"/>
      <c r="W201" s="1"/>
      <c r="X201" s="1"/>
      <c r="Y201" s="1"/>
      <c r="Z201" s="1"/>
    </row>
    <row r="202" customFormat="false" ht="15.75" hidden="false" customHeight="true" outlineLevel="0" collapsed="false">
      <c r="H202" s="1"/>
      <c r="I202" s="1"/>
      <c r="J202" s="1"/>
      <c r="K202" s="1"/>
      <c r="L202" s="1"/>
      <c r="M202" s="1"/>
      <c r="N202" s="1"/>
      <c r="O202" s="1"/>
      <c r="P202" s="1"/>
      <c r="Q202" s="1"/>
      <c r="R202" s="1"/>
      <c r="S202" s="1"/>
      <c r="T202" s="1"/>
      <c r="U202" s="1"/>
      <c r="V202" s="1"/>
      <c r="W202" s="1"/>
      <c r="X202" s="1"/>
      <c r="Y202" s="1"/>
      <c r="Z202" s="1"/>
    </row>
    <row r="203" customFormat="false" ht="15.75" hidden="false" customHeight="true" outlineLevel="0" collapsed="false">
      <c r="H203" s="1"/>
      <c r="I203" s="1"/>
      <c r="J203" s="1"/>
      <c r="K203" s="1"/>
      <c r="L203" s="1"/>
      <c r="M203" s="1"/>
      <c r="N203" s="1"/>
      <c r="O203" s="1"/>
      <c r="P203" s="1"/>
      <c r="Q203" s="1"/>
      <c r="R203" s="1"/>
      <c r="S203" s="1"/>
      <c r="T203" s="1"/>
      <c r="U203" s="1"/>
      <c r="V203" s="1"/>
      <c r="W203" s="1"/>
      <c r="X203" s="1"/>
      <c r="Y203" s="1"/>
      <c r="Z203" s="1"/>
    </row>
    <row r="204" customFormat="false" ht="15.75" hidden="false" customHeight="true" outlineLevel="0" collapsed="false">
      <c r="H204" s="1"/>
      <c r="I204" s="1"/>
      <c r="J204" s="1"/>
      <c r="K204" s="1"/>
      <c r="L204" s="1"/>
      <c r="M204" s="1"/>
      <c r="N204" s="1"/>
      <c r="O204" s="1"/>
      <c r="P204" s="1"/>
      <c r="Q204" s="1"/>
      <c r="R204" s="1"/>
      <c r="S204" s="1"/>
      <c r="T204" s="1"/>
      <c r="U204" s="1"/>
      <c r="V204" s="1"/>
      <c r="W204" s="1"/>
      <c r="X204" s="1"/>
      <c r="Y204" s="1"/>
      <c r="Z204" s="1"/>
    </row>
    <row r="205" customFormat="false" ht="15.75" hidden="false" customHeight="true" outlineLevel="0" collapsed="false">
      <c r="H205" s="1"/>
      <c r="I205" s="1"/>
      <c r="J205" s="1"/>
      <c r="K205" s="1"/>
      <c r="L205" s="1"/>
      <c r="M205" s="1"/>
      <c r="N205" s="1"/>
      <c r="O205" s="1"/>
      <c r="P205" s="1"/>
      <c r="Q205" s="1"/>
      <c r="R205" s="1"/>
      <c r="S205" s="1"/>
      <c r="T205" s="1"/>
      <c r="U205" s="1"/>
      <c r="V205" s="1"/>
      <c r="W205" s="1"/>
      <c r="X205" s="1"/>
      <c r="Y205" s="1"/>
      <c r="Z205" s="1"/>
    </row>
    <row r="206" customFormat="false" ht="15.75" hidden="false" customHeight="true" outlineLevel="0" collapsed="false">
      <c r="H206" s="1"/>
      <c r="I206" s="1"/>
      <c r="J206" s="1"/>
      <c r="K206" s="1"/>
      <c r="L206" s="1"/>
      <c r="M206" s="1"/>
      <c r="N206" s="1"/>
      <c r="O206" s="1"/>
      <c r="P206" s="1"/>
      <c r="Q206" s="1"/>
      <c r="R206" s="1"/>
      <c r="S206" s="1"/>
      <c r="T206" s="1"/>
      <c r="U206" s="1"/>
      <c r="V206" s="1"/>
      <c r="W206" s="1"/>
      <c r="X206" s="1"/>
      <c r="Y206" s="1"/>
      <c r="Z206" s="1"/>
    </row>
    <row r="207" customFormat="false" ht="15.75" hidden="false" customHeight="true" outlineLevel="0" collapsed="false">
      <c r="H207" s="1"/>
      <c r="I207" s="1"/>
      <c r="J207" s="1"/>
      <c r="K207" s="1"/>
      <c r="L207" s="1"/>
      <c r="M207" s="1"/>
      <c r="N207" s="1"/>
      <c r="O207" s="1"/>
      <c r="P207" s="1"/>
      <c r="Q207" s="1"/>
      <c r="R207" s="1"/>
      <c r="S207" s="1"/>
      <c r="T207" s="1"/>
      <c r="U207" s="1"/>
      <c r="V207" s="1"/>
      <c r="W207" s="1"/>
      <c r="X207" s="1"/>
      <c r="Y207" s="1"/>
      <c r="Z207" s="1"/>
    </row>
    <row r="208" customFormat="false" ht="15.75" hidden="false" customHeight="true" outlineLevel="0" collapsed="false">
      <c r="H208" s="1"/>
      <c r="I208" s="1"/>
      <c r="J208" s="1"/>
      <c r="K208" s="1"/>
      <c r="L208" s="1"/>
      <c r="M208" s="1"/>
      <c r="N208" s="1"/>
      <c r="O208" s="1"/>
      <c r="P208" s="1"/>
      <c r="Q208" s="1"/>
      <c r="R208" s="1"/>
      <c r="S208" s="1"/>
      <c r="T208" s="1"/>
      <c r="U208" s="1"/>
      <c r="V208" s="1"/>
      <c r="W208" s="1"/>
      <c r="X208" s="1"/>
      <c r="Y208" s="1"/>
      <c r="Z208" s="1"/>
    </row>
    <row r="209" customFormat="false" ht="15.75" hidden="false" customHeight="true" outlineLevel="0" collapsed="false">
      <c r="H209" s="1"/>
      <c r="I209" s="1"/>
      <c r="J209" s="1"/>
      <c r="K209" s="1"/>
      <c r="L209" s="1"/>
      <c r="M209" s="1"/>
      <c r="N209" s="1"/>
      <c r="O209" s="1"/>
      <c r="P209" s="1"/>
      <c r="Q209" s="1"/>
      <c r="R209" s="1"/>
      <c r="S209" s="1"/>
      <c r="T209" s="1"/>
      <c r="U209" s="1"/>
      <c r="V209" s="1"/>
      <c r="W209" s="1"/>
      <c r="X209" s="1"/>
      <c r="Y209" s="1"/>
      <c r="Z209" s="1"/>
    </row>
    <row r="210" customFormat="false" ht="15.75" hidden="false" customHeight="true" outlineLevel="0" collapsed="false">
      <c r="H210" s="1"/>
      <c r="I210" s="1"/>
      <c r="J210" s="1"/>
      <c r="K210" s="1"/>
      <c r="L210" s="1"/>
      <c r="M210" s="1"/>
      <c r="N210" s="1"/>
      <c r="O210" s="1"/>
      <c r="P210" s="1"/>
      <c r="Q210" s="1"/>
      <c r="R210" s="1"/>
      <c r="S210" s="1"/>
      <c r="T210" s="1"/>
      <c r="U210" s="1"/>
      <c r="V210" s="1"/>
      <c r="W210" s="1"/>
      <c r="X210" s="1"/>
      <c r="Y210" s="1"/>
      <c r="Z210" s="1"/>
    </row>
    <row r="211" customFormat="false" ht="15.75" hidden="false" customHeight="true" outlineLevel="0" collapsed="false">
      <c r="H211" s="1"/>
      <c r="I211" s="1"/>
      <c r="J211" s="1"/>
      <c r="K211" s="1"/>
      <c r="L211" s="1"/>
      <c r="M211" s="1"/>
      <c r="N211" s="1"/>
      <c r="O211" s="1"/>
      <c r="P211" s="1"/>
      <c r="Q211" s="1"/>
      <c r="R211" s="1"/>
      <c r="S211" s="1"/>
      <c r="T211" s="1"/>
      <c r="U211" s="1"/>
      <c r="V211" s="1"/>
      <c r="W211" s="1"/>
      <c r="X211" s="1"/>
      <c r="Y211" s="1"/>
      <c r="Z211" s="1"/>
    </row>
    <row r="212" customFormat="false" ht="15.75" hidden="false" customHeight="true" outlineLevel="0" collapsed="false">
      <c r="H212" s="1"/>
      <c r="I212" s="1"/>
      <c r="J212" s="1"/>
      <c r="K212" s="1"/>
      <c r="L212" s="1"/>
      <c r="M212" s="1"/>
      <c r="N212" s="1"/>
      <c r="O212" s="1"/>
      <c r="P212" s="1"/>
      <c r="Q212" s="1"/>
      <c r="R212" s="1"/>
      <c r="S212" s="1"/>
      <c r="T212" s="1"/>
      <c r="U212" s="1"/>
      <c r="V212" s="1"/>
      <c r="W212" s="1"/>
      <c r="X212" s="1"/>
      <c r="Y212" s="1"/>
      <c r="Z212" s="1"/>
    </row>
    <row r="213" customFormat="false" ht="15.75" hidden="false" customHeight="true" outlineLevel="0" collapsed="false">
      <c r="H213" s="1"/>
      <c r="I213" s="1"/>
      <c r="J213" s="1"/>
      <c r="K213" s="1"/>
      <c r="L213" s="1"/>
      <c r="M213" s="1"/>
      <c r="N213" s="1"/>
      <c r="O213" s="1"/>
      <c r="P213" s="1"/>
      <c r="Q213" s="1"/>
      <c r="R213" s="1"/>
      <c r="S213" s="1"/>
      <c r="T213" s="1"/>
      <c r="U213" s="1"/>
      <c r="V213" s="1"/>
      <c r="W213" s="1"/>
      <c r="X213" s="1"/>
      <c r="Y213" s="1"/>
      <c r="Z213" s="1"/>
    </row>
    <row r="214" customFormat="false" ht="15.75" hidden="false" customHeight="true" outlineLevel="0" collapsed="false">
      <c r="H214" s="1"/>
      <c r="I214" s="1"/>
      <c r="J214" s="1"/>
      <c r="K214" s="1"/>
      <c r="L214" s="1"/>
      <c r="M214" s="1"/>
      <c r="N214" s="1"/>
      <c r="O214" s="1"/>
      <c r="P214" s="1"/>
      <c r="Q214" s="1"/>
      <c r="R214" s="1"/>
      <c r="S214" s="1"/>
      <c r="T214" s="1"/>
      <c r="U214" s="1"/>
      <c r="V214" s="1"/>
      <c r="W214" s="1"/>
      <c r="X214" s="1"/>
      <c r="Y214" s="1"/>
      <c r="Z214" s="1"/>
    </row>
    <row r="215" customFormat="false" ht="15.75" hidden="false" customHeight="true" outlineLevel="0" collapsed="false">
      <c r="H215" s="1"/>
      <c r="I215" s="1"/>
      <c r="J215" s="1"/>
      <c r="K215" s="1"/>
      <c r="L215" s="1"/>
      <c r="M215" s="1"/>
      <c r="N215" s="1"/>
      <c r="O215" s="1"/>
      <c r="P215" s="1"/>
      <c r="Q215" s="1"/>
      <c r="R215" s="1"/>
      <c r="S215" s="1"/>
      <c r="T215" s="1"/>
      <c r="U215" s="1"/>
      <c r="V215" s="1"/>
      <c r="W215" s="1"/>
      <c r="X215" s="1"/>
      <c r="Y215" s="1"/>
      <c r="Z215" s="1"/>
    </row>
    <row r="216" customFormat="false" ht="15.75" hidden="false" customHeight="true" outlineLevel="0" collapsed="false">
      <c r="H216" s="1"/>
      <c r="I216" s="1"/>
      <c r="J216" s="1"/>
      <c r="K216" s="1"/>
      <c r="L216" s="1"/>
      <c r="M216" s="1"/>
      <c r="N216" s="1"/>
      <c r="O216" s="1"/>
      <c r="P216" s="1"/>
      <c r="Q216" s="1"/>
      <c r="R216" s="1"/>
      <c r="S216" s="1"/>
      <c r="T216" s="1"/>
      <c r="U216" s="1"/>
      <c r="V216" s="1"/>
      <c r="W216" s="1"/>
      <c r="X216" s="1"/>
      <c r="Y216" s="1"/>
      <c r="Z216" s="1"/>
    </row>
    <row r="217" customFormat="false" ht="15.75" hidden="false" customHeight="true" outlineLevel="0" collapsed="false">
      <c r="H217" s="1"/>
      <c r="I217" s="1"/>
      <c r="J217" s="1"/>
      <c r="K217" s="1"/>
      <c r="L217" s="1"/>
      <c r="M217" s="1"/>
      <c r="N217" s="1"/>
      <c r="O217" s="1"/>
      <c r="P217" s="1"/>
      <c r="Q217" s="1"/>
      <c r="R217" s="1"/>
      <c r="S217" s="1"/>
      <c r="T217" s="1"/>
      <c r="U217" s="1"/>
      <c r="V217" s="1"/>
      <c r="W217" s="1"/>
      <c r="X217" s="1"/>
      <c r="Y217" s="1"/>
      <c r="Z217" s="1"/>
    </row>
    <row r="218" customFormat="false" ht="15.75" hidden="false" customHeight="true" outlineLevel="0" collapsed="false">
      <c r="H218" s="1"/>
      <c r="I218" s="1"/>
      <c r="J218" s="1"/>
      <c r="K218" s="1"/>
      <c r="L218" s="1"/>
      <c r="M218" s="1"/>
      <c r="N218" s="1"/>
      <c r="O218" s="1"/>
      <c r="P218" s="1"/>
      <c r="Q218" s="1"/>
      <c r="R218" s="1"/>
      <c r="S218" s="1"/>
      <c r="T218" s="1"/>
      <c r="U218" s="1"/>
      <c r="V218" s="1"/>
      <c r="W218" s="1"/>
      <c r="X218" s="1"/>
      <c r="Y218" s="1"/>
      <c r="Z218" s="1"/>
    </row>
    <row r="219" customFormat="false" ht="15.75" hidden="false" customHeight="true" outlineLevel="0" collapsed="false">
      <c r="H219" s="1"/>
      <c r="I219" s="1"/>
      <c r="J219" s="1"/>
      <c r="K219" s="1"/>
      <c r="L219" s="1"/>
      <c r="M219" s="1"/>
      <c r="N219" s="1"/>
      <c r="O219" s="1"/>
      <c r="P219" s="1"/>
      <c r="Q219" s="1"/>
      <c r="R219" s="1"/>
      <c r="S219" s="1"/>
      <c r="T219" s="1"/>
      <c r="U219" s="1"/>
      <c r="V219" s="1"/>
      <c r="W219" s="1"/>
      <c r="X219" s="1"/>
      <c r="Y219" s="1"/>
      <c r="Z219" s="1"/>
    </row>
    <row r="220" customFormat="false" ht="15.75" hidden="false" customHeight="true" outlineLevel="0" collapsed="false">
      <c r="H220" s="1"/>
      <c r="I220" s="1"/>
      <c r="J220" s="1"/>
      <c r="K220" s="1"/>
      <c r="L220" s="1"/>
      <c r="M220" s="1"/>
      <c r="N220" s="1"/>
      <c r="O220" s="1"/>
      <c r="P220" s="1"/>
      <c r="Q220" s="1"/>
      <c r="R220" s="1"/>
      <c r="S220" s="1"/>
      <c r="T220" s="1"/>
      <c r="U220" s="1"/>
      <c r="V220" s="1"/>
      <c r="W220" s="1"/>
      <c r="X220" s="1"/>
      <c r="Y220" s="1"/>
      <c r="Z220" s="1"/>
    </row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autoFilter ref="A5:G20"/>
  <mergeCells count="1">
    <mergeCell ref="A4:G4"/>
  </mergeCells>
  <conditionalFormatting sqref="D6:D20">
    <cfRule type="expression" priority="2" aboveAverage="0" equalAverage="0" bottom="0" percent="0" rank="0" text="" dxfId="19">
      <formula>D6="TEM PERFIL"</formula>
    </cfRule>
    <cfRule type="expression" priority="3" aboveAverage="0" equalAverage="0" bottom="0" percent="0" rank="0" text="" dxfId="20">
      <formula>D6="NÃO TEM PERFIL"</formula>
    </cfRule>
    <cfRule type="expression" priority="4" aboveAverage="0" equalAverage="0" bottom="0" percent="0" rank="0" text="" dxfId="21">
      <formula>D6="AGUARDANDO RETORNO"</formula>
    </cfRule>
  </conditionalFormatting>
  <conditionalFormatting sqref="F6:F20">
    <cfRule type="cellIs" priority="5" operator="lessThan" aboveAverage="0" equalAverage="0" bottom="0" percent="0" rank="0" text="" dxfId="4">
      <formula>0</formula>
    </cfRule>
    <cfRule type="cellIs" priority="6" operator="between" aboveAverage="0" equalAverage="0" bottom="0" percent="0" rank="0" text="" dxfId="5">
      <formula>0</formula>
      <formula>30</formula>
    </cfRule>
    <cfRule type="cellIs" priority="7" operator="between" aboveAverage="0" equalAverage="0" bottom="0" percent="0" rank="0" text="" dxfId="6">
      <formula>31</formula>
      <formula>60</formula>
    </cfRule>
    <cfRule type="cellIs" priority="8" operator="lessThan" aboveAverage="0" equalAverage="0" bottom="0" percent="0" rank="0" text="" dxfId="9">
      <formula>0</formula>
    </cfRule>
    <cfRule type="cellIs" priority="9" operator="between" aboveAverage="0" equalAverage="0" bottom="0" percent="0" rank="0" text="" dxfId="7">
      <formula>0</formula>
      <formula>30</formula>
    </cfRule>
    <cfRule type="cellIs" priority="10" operator="between" aboveAverage="0" equalAverage="0" bottom="0" percent="0" rank="0" text="" dxfId="8">
      <formula>31</formula>
      <formula>60</formula>
    </cfRule>
    <cfRule type="cellIs" priority="11" operator="greaterThan" aboveAverage="0" equalAverage="0" bottom="0" percent="0" rank="0" text="" dxfId="10">
      <formula>60</formula>
    </cfRule>
  </conditionalFormatting>
  <conditionalFormatting sqref="F9:F10">
    <cfRule type="cellIs" priority="12" operator="lessThan" aboveAverage="0" equalAverage="0" bottom="0" percent="0" rank="0" text="" dxfId="0">
      <formula>0</formula>
    </cfRule>
    <cfRule type="cellIs" priority="13" operator="between" aboveAverage="0" equalAverage="0" bottom="0" percent="0" rank="0" text="" dxfId="1">
      <formula>0</formula>
      <formula>30</formula>
    </cfRule>
    <cfRule type="cellIs" priority="14" operator="between" aboveAverage="0" equalAverage="0" bottom="0" percent="0" rank="0" text="" dxfId="2">
      <formula>31</formula>
      <formula>60</formula>
    </cfRule>
    <cfRule type="cellIs" priority="15" operator="greaterThan" aboveAverage="0" equalAverage="0" bottom="0" percent="0" rank="0" text="" dxfId="3">
      <formula>60</formula>
    </cfRule>
  </conditionalFormatting>
  <dataValidations count="1">
    <dataValidation allowBlank="true" errorStyle="stop" operator="between" showDropDown="false" showErrorMessage="false" showInputMessage="false" sqref="D6:D20" type="list">
      <formula1>"TEM PERFIL,AGUARDANDO RETORNO,NÃO TEM PERFIL"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00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4.43359375" defaultRowHeight="15" zeroHeight="false" outlineLevelRow="0" outlineLevelCol="0"/>
  <cols>
    <col collapsed="false" customWidth="true" hidden="false" outlineLevel="0" max="26" min="1" style="1" width="8.71"/>
  </cols>
  <sheetData>
    <row r="1" customFormat="false" ht="15" hidden="false" customHeight="true" outlineLevel="0" collapsed="false">
      <c r="A1" s="1" t="s">
        <v>8</v>
      </c>
      <c r="B1" s="1" t="s">
        <v>300</v>
      </c>
      <c r="C1" s="1" t="s">
        <v>10</v>
      </c>
      <c r="D1" s="1" t="s">
        <v>11</v>
      </c>
      <c r="E1" s="1" t="s">
        <v>17</v>
      </c>
      <c r="F1" s="1" t="s">
        <v>301</v>
      </c>
      <c r="G1" s="1" t="s">
        <v>302</v>
      </c>
    </row>
    <row r="2" customFormat="false" ht="15" hidden="false" customHeight="true" outlineLevel="0" collapsed="false">
      <c r="A2" s="1" t="s">
        <v>303</v>
      </c>
      <c r="B2" s="1" t="str">
        <f aca="false">VEICULOS!C6</f>
        <v>BRY3E66</v>
      </c>
      <c r="D2" s="1" t="str">
        <f aca="false">VEICULOS!D6</f>
        <v>NÃO TEM PERFIL</v>
      </c>
      <c r="E2" s="51" t="n">
        <f aca="false">VEICULOS!E6</f>
        <v>0</v>
      </c>
      <c r="F2" s="1" t="str">
        <f aca="true">IFERROR(IF(ISNUMBER(E2),E2-TODAY(),DATE(VALUE(RIGHT(E2,4)),VALUE(MID(E2,4,2)),VALUE(LEFT(E2,2)))-TODAY()),"—")</f>
        <v>—</v>
      </c>
      <c r="G2" s="1" t="n">
        <f aca="true">IF(D2="TEM PERFIL",IFERROR(IF(ISNUMBER(E2),E2-TODAY(),DATE(VALUE(RIGHT(E2,4)),VALUE(MID(E2,4,2)),VALUE(LEFT(E2,2)))-TODAY())+ROW()/100000,9999999+ROW()/100000),9999999+ROW()/100000)</f>
        <v>9999999.00002</v>
      </c>
    </row>
    <row r="3" customFormat="false" ht="15" hidden="false" customHeight="true" outlineLevel="0" collapsed="false">
      <c r="A3" s="1" t="s">
        <v>303</v>
      </c>
      <c r="B3" s="1" t="str">
        <f aca="false">VEICULOS!C7</f>
        <v>PXQ8F08</v>
      </c>
      <c r="D3" s="1" t="str">
        <f aca="false">VEICULOS!D7</f>
        <v>NÃO TEM PERFIL</v>
      </c>
      <c r="E3" s="51" t="n">
        <f aca="false">VEICULOS!E7</f>
        <v>0</v>
      </c>
      <c r="F3" s="1" t="str">
        <f aca="true">IFERROR(IF(ISNUMBER(E3),E3-TODAY(),DATE(VALUE(RIGHT(E3,4)),VALUE(MID(E3,4,2)),VALUE(LEFT(E3,2)))-TODAY()),"—")</f>
        <v>—</v>
      </c>
      <c r="G3" s="1" t="n">
        <f aca="true">IF(D3="TEM PERFIL",IFERROR(IF(ISNUMBER(E3),E3-TODAY(),DATE(VALUE(RIGHT(E3,4)),VALUE(MID(E3,4,2)),VALUE(LEFT(E3,2)))-TODAY())+ROW()/100000,9999999+ROW()/100000),9999999+ROW()/100000)</f>
        <v>9999999.00003</v>
      </c>
    </row>
    <row r="4" customFormat="false" ht="15" hidden="false" customHeight="true" outlineLevel="0" collapsed="false">
      <c r="A4" s="1" t="s">
        <v>303</v>
      </c>
      <c r="B4" s="1" t="str">
        <f aca="false">VEICULOS!C8</f>
        <v>SEM9A77</v>
      </c>
      <c r="D4" s="1" t="str">
        <f aca="false">VEICULOS!D8</f>
        <v>NÃO TEM PERFIL</v>
      </c>
      <c r="E4" s="51" t="n">
        <f aca="false">VEICULOS!E8</f>
        <v>0</v>
      </c>
      <c r="F4" s="1" t="str">
        <f aca="true">IFERROR(IF(ISNUMBER(E4),E4-TODAY(),DATE(VALUE(RIGHT(E4,4)),VALUE(MID(E4,4,2)),VALUE(LEFT(E4,2)))-TODAY()),"—")</f>
        <v>—</v>
      </c>
      <c r="G4" s="1" t="n">
        <f aca="true">IF(D4="TEM PERFIL",IFERROR(IF(ISNUMBER(E4),E4-TODAY(),DATE(VALUE(RIGHT(E4,4)),VALUE(MID(E4,4,2)),VALUE(LEFT(E4,2)))-TODAY())+ROW()/100000,9999999+ROW()/100000),9999999+ROW()/100000)</f>
        <v>9999999.00004</v>
      </c>
    </row>
    <row r="5" customFormat="false" ht="15" hidden="false" customHeight="true" outlineLevel="0" collapsed="false">
      <c r="A5" s="1" t="s">
        <v>303</v>
      </c>
      <c r="B5" s="1" t="str">
        <f aca="false">VEICULOS!C9</f>
        <v>STR9F35</v>
      </c>
      <c r="D5" s="1" t="str">
        <f aca="false">VEICULOS!D9</f>
        <v>NÃO TEM PERFIL</v>
      </c>
      <c r="E5" s="51" t="n">
        <f aca="false">VEICULOS!E9</f>
        <v>0</v>
      </c>
      <c r="F5" s="1" t="str">
        <f aca="true">IFERROR(IF(ISNUMBER(E5),E5-TODAY(),DATE(VALUE(RIGHT(E5,4)),VALUE(MID(E5,4,2)),VALUE(LEFT(E5,2)))-TODAY()),"—")</f>
        <v>—</v>
      </c>
      <c r="G5" s="1" t="n">
        <f aca="true">IF(D5="TEM PERFIL",IFERROR(IF(ISNUMBER(E5),E5-TODAY(),DATE(VALUE(RIGHT(E5,4)),VALUE(MID(E5,4,2)),VALUE(LEFT(E5,2)))-TODAY())+ROW()/100000,9999999+ROW()/100000),9999999+ROW()/100000)</f>
        <v>9999999.00005</v>
      </c>
    </row>
    <row r="6" customFormat="false" ht="15" hidden="false" customHeight="true" outlineLevel="0" collapsed="false">
      <c r="A6" s="1" t="s">
        <v>303</v>
      </c>
      <c r="B6" s="1" t="str">
        <f aca="false">VEICULOS!C10</f>
        <v>SWF4H15</v>
      </c>
      <c r="D6" s="1" t="str">
        <f aca="false">VEICULOS!D10</f>
        <v>TEM PERFIL</v>
      </c>
      <c r="E6" s="51" t="str">
        <f aca="false">VEICULOS!E10</f>
        <v>03/02/2027</v>
      </c>
      <c r="F6" s="1" t="n">
        <f aca="true">IFERROR(IF(ISNUMBER(E6),E6-TODAY(),DATE(VALUE(RIGHT(E6,4)),VALUE(MID(E6,4,2)),VALUE(LEFT(E6,2)))-TODAY()),"—")</f>
        <v>152</v>
      </c>
      <c r="G6" s="1" t="n">
        <f aca="true">IF(D6="TEM PERFIL",IFERROR(IF(ISNUMBER(E6),E6-TODAY(),DATE(VALUE(RIGHT(E6,4)),VALUE(MID(E6,4,2)),VALUE(LEFT(E6,2)))-TODAY())+ROW()/100000,9999999+ROW()/100000),9999999+ROW()/100000)</f>
        <v>152.00006</v>
      </c>
    </row>
    <row r="7" customFormat="false" ht="15" hidden="false" customHeight="true" outlineLevel="0" collapsed="false">
      <c r="A7" s="1" t="s">
        <v>303</v>
      </c>
      <c r="B7" s="1" t="str">
        <f aca="false">VEICULOS!C11</f>
        <v>SWU3H66</v>
      </c>
      <c r="D7" s="1" t="str">
        <f aca="false">VEICULOS!D11</f>
        <v>TEM PERFIL</v>
      </c>
      <c r="E7" s="51" t="str">
        <f aca="false">VEICULOS!E11</f>
        <v>16/02/2027</v>
      </c>
      <c r="F7" s="1" t="n">
        <f aca="true">IFERROR(IF(ISNUMBER(E7),E7-TODAY(),DATE(VALUE(RIGHT(E7,4)),VALUE(MID(E7,4,2)),VALUE(LEFT(E7,2)))-TODAY()),"—")</f>
        <v>165</v>
      </c>
      <c r="G7" s="1" t="n">
        <f aca="true">IF(D7="TEM PERFIL",IFERROR(IF(ISNUMBER(E7),E7-TODAY(),DATE(VALUE(RIGHT(E7,4)),VALUE(MID(E7,4,2)),VALUE(LEFT(E7,2)))-TODAY())+ROW()/100000,9999999+ROW()/100000),9999999+ROW()/100000)</f>
        <v>165.00007</v>
      </c>
    </row>
    <row r="8" customFormat="false" ht="15" hidden="false" customHeight="true" outlineLevel="0" collapsed="false">
      <c r="A8" s="1" t="s">
        <v>303</v>
      </c>
      <c r="B8" s="1" t="str">
        <f aca="false">VEICULOS!C12</f>
        <v>FUL6A21</v>
      </c>
      <c r="D8" s="1" t="str">
        <f aca="false">VEICULOS!D12</f>
        <v>TEM PERFIL</v>
      </c>
      <c r="E8" s="51" t="str">
        <f aca="false">VEICULOS!E12</f>
        <v>26/02/2027</v>
      </c>
      <c r="F8" s="1" t="n">
        <f aca="true">IFERROR(IF(ISNUMBER(E8),E8-TODAY(),DATE(VALUE(RIGHT(E8,4)),VALUE(MID(E8,4,2)),VALUE(LEFT(E8,2)))-TODAY()),"—")</f>
        <v>175</v>
      </c>
      <c r="G8" s="1" t="n">
        <f aca="true">IF(D8="TEM PERFIL",IFERROR(IF(ISNUMBER(E8),E8-TODAY(),DATE(VALUE(RIGHT(E8,4)),VALUE(MID(E8,4,2)),VALUE(LEFT(E8,2)))-TODAY())+ROW()/100000,9999999+ROW()/100000),9999999+ROW()/100000)</f>
        <v>175.00008</v>
      </c>
    </row>
    <row r="9" customFormat="false" ht="15" hidden="false" customHeight="true" outlineLevel="0" collapsed="false">
      <c r="A9" s="1" t="s">
        <v>303</v>
      </c>
      <c r="B9" s="1" t="str">
        <f aca="false">VEICULOS!C13</f>
        <v>FXI4A14</v>
      </c>
      <c r="D9" s="1" t="str">
        <f aca="false">VEICULOS!D13</f>
        <v>TEM PERFIL</v>
      </c>
      <c r="E9" s="51" t="str">
        <f aca="false">VEICULOS!E13</f>
        <v>04/08/2027</v>
      </c>
      <c r="F9" s="1" t="n">
        <f aca="true">IFERROR(IF(ISNUMBER(E9),E9-TODAY(),DATE(VALUE(RIGHT(E9,4)),VALUE(MID(E9,4,2)),VALUE(LEFT(E9,2)))-TODAY()),"—")</f>
        <v>334</v>
      </c>
      <c r="G9" s="1" t="n">
        <f aca="true">IF(D9="TEM PERFIL",IFERROR(IF(ISNUMBER(E9),E9-TODAY(),DATE(VALUE(RIGHT(E9,4)),VALUE(MID(E9,4,2)),VALUE(LEFT(E9,2)))-TODAY())+ROW()/100000,9999999+ROW()/100000),9999999+ROW()/100000)</f>
        <v>334.00009</v>
      </c>
    </row>
    <row r="10" customFormat="false" ht="15" hidden="false" customHeight="true" outlineLevel="0" collapsed="false">
      <c r="A10" s="1" t="s">
        <v>303</v>
      </c>
      <c r="B10" s="1" t="str">
        <f aca="false">VEICULOS!C14</f>
        <v>QSX1J75</v>
      </c>
      <c r="D10" s="1" t="str">
        <f aca="false">VEICULOS!D14</f>
        <v>TEM PERFIL</v>
      </c>
      <c r="E10" s="51" t="str">
        <f aca="false">VEICULOS!E14</f>
        <v>29/01/2027</v>
      </c>
      <c r="F10" s="1" t="n">
        <f aca="true">IFERROR(IF(ISNUMBER(E10),E10-TODAY(),DATE(VALUE(RIGHT(E10,4)),VALUE(MID(E10,4,2)),VALUE(LEFT(E10,2)))-TODAY()),"—")</f>
        <v>147</v>
      </c>
      <c r="G10" s="1" t="n">
        <f aca="true">IF(D10="TEM PERFIL",IFERROR(IF(ISNUMBER(E10),E10-TODAY(),DATE(VALUE(RIGHT(E10,4)),VALUE(MID(E10,4,2)),VALUE(LEFT(E10,2)))-TODAY())+ROW()/100000,9999999+ROW()/100000),9999999+ROW()/100000)</f>
        <v>147.0001</v>
      </c>
    </row>
    <row r="11" customFormat="false" ht="15" hidden="false" customHeight="true" outlineLevel="0" collapsed="false">
      <c r="A11" s="1" t="s">
        <v>303</v>
      </c>
      <c r="B11" s="1" t="str">
        <f aca="false">VEICULOS!C15</f>
        <v>SVK6F53</v>
      </c>
      <c r="D11" s="1" t="str">
        <f aca="false">VEICULOS!D15</f>
        <v>TEM PERFIL</v>
      </c>
      <c r="E11" s="51" t="str">
        <f aca="false">VEICULOS!E15</f>
        <v>01/10/2027</v>
      </c>
      <c r="F11" s="1" t="n">
        <f aca="true">IFERROR(IF(ISNUMBER(E11),E11-TODAY(),DATE(VALUE(RIGHT(E11,4)),VALUE(MID(E11,4,2)),VALUE(LEFT(E11,2)))-TODAY()),"—")</f>
        <v>392</v>
      </c>
      <c r="G11" s="1" t="n">
        <f aca="true">IF(D11="TEM PERFIL",IFERROR(IF(ISNUMBER(E11),E11-TODAY(),DATE(VALUE(RIGHT(E11,4)),VALUE(MID(E11,4,2)),VALUE(LEFT(E11,2)))-TODAY())+ROW()/100000,9999999+ROW()/100000),9999999+ROW()/100000)</f>
        <v>392.00011</v>
      </c>
    </row>
    <row r="12" customFormat="false" ht="15" hidden="false" customHeight="true" outlineLevel="0" collapsed="false">
      <c r="A12" s="1" t="s">
        <v>303</v>
      </c>
      <c r="B12" s="1" t="str">
        <f aca="false">VEICULOS!C16</f>
        <v>SWH3H91</v>
      </c>
      <c r="D12" s="1" t="str">
        <f aca="false">VEICULOS!D16</f>
        <v>TEM PERFIL</v>
      </c>
      <c r="E12" s="51" t="str">
        <f aca="false">VEICULOS!E16</f>
        <v>19/09/2026</v>
      </c>
      <c r="F12" s="1" t="n">
        <f aca="true">IFERROR(IF(ISNUMBER(E12),E12-TODAY(),DATE(VALUE(RIGHT(E12,4)),VALUE(MID(E12,4,2)),VALUE(LEFT(E12,2)))-TODAY()),"—")</f>
        <v>15</v>
      </c>
      <c r="G12" s="1" t="n">
        <f aca="true">IF(D12="TEM PERFIL",IFERROR(IF(ISNUMBER(E12),E12-TODAY(),DATE(VALUE(RIGHT(E12,4)),VALUE(MID(E12,4,2)),VALUE(LEFT(E12,2)))-TODAY())+ROW()/100000,9999999+ROW()/100000),9999999+ROW()/100000)</f>
        <v>15.00012</v>
      </c>
    </row>
    <row r="13" customFormat="false" ht="15" hidden="false" customHeight="true" outlineLevel="0" collapsed="false">
      <c r="A13" s="1" t="s">
        <v>303</v>
      </c>
      <c r="B13" s="1" t="str">
        <f aca="false">VEICULOS!C17</f>
        <v>SWJ0H01</v>
      </c>
      <c r="D13" s="1" t="str">
        <f aca="false">VEICULOS!D17</f>
        <v>TEM PERFIL</v>
      </c>
      <c r="E13" s="51" t="str">
        <f aca="false">VEICULOS!E17</f>
        <v>04/08/2027</v>
      </c>
      <c r="F13" s="1" t="n">
        <f aca="true">IFERROR(IF(ISNUMBER(E13),E13-TODAY(),DATE(VALUE(RIGHT(E13,4)),VALUE(MID(E13,4,2)),VALUE(LEFT(E13,2)))-TODAY()),"—")</f>
        <v>334</v>
      </c>
      <c r="G13" s="1" t="n">
        <f aca="true">IF(D13="TEM PERFIL",IFERROR(IF(ISNUMBER(E13),E13-TODAY(),DATE(VALUE(RIGHT(E13,4)),VALUE(MID(E13,4,2)),VALUE(LEFT(E13,2)))-TODAY())+ROW()/100000,9999999+ROW()/100000),9999999+ROW()/100000)</f>
        <v>334.00013</v>
      </c>
    </row>
    <row r="14" customFormat="false" ht="15" hidden="false" customHeight="true" outlineLevel="0" collapsed="false">
      <c r="A14" s="1" t="s">
        <v>303</v>
      </c>
      <c r="B14" s="1" t="str">
        <f aca="false">VEICULOS!C18</f>
        <v>TJA6H23</v>
      </c>
      <c r="D14" s="1" t="str">
        <f aca="false">VEICULOS!D18</f>
        <v>TEM PERFIL</v>
      </c>
      <c r="E14" s="51" t="str">
        <f aca="false">VEICULOS!E18</f>
        <v>01/10/2027</v>
      </c>
      <c r="F14" s="1" t="n">
        <f aca="true">IFERROR(IF(ISNUMBER(E14),E14-TODAY(),DATE(VALUE(RIGHT(E14,4)),VALUE(MID(E14,4,2)),VALUE(LEFT(E14,2)))-TODAY()),"—")</f>
        <v>392</v>
      </c>
      <c r="G14" s="1" t="n">
        <f aca="true">IF(D14="TEM PERFIL",IFERROR(IF(ISNUMBER(E14),E14-TODAY(),DATE(VALUE(RIGHT(E14,4)),VALUE(MID(E14,4,2)),VALUE(LEFT(E14,2)))-TODAY())+ROW()/100000,9999999+ROW()/100000),9999999+ROW()/100000)</f>
        <v>392.00014</v>
      </c>
    </row>
    <row r="15" customFormat="false" ht="15" hidden="false" customHeight="true" outlineLevel="0" collapsed="false">
      <c r="A15" s="1" t="s">
        <v>303</v>
      </c>
      <c r="B15" s="1" t="str">
        <f aca="false">VEICULOS!C19</f>
        <v>MSD2923</v>
      </c>
      <c r="D15" s="1" t="str">
        <f aca="false">VEICULOS!D19</f>
        <v>TEM PERFIL</v>
      </c>
      <c r="E15" s="51" t="str">
        <f aca="false">VEICULOS!E19</f>
        <v>13/01/2027</v>
      </c>
      <c r="F15" s="1" t="n">
        <f aca="true">IFERROR(IF(ISNUMBER(E15),E15-TODAY(),DATE(VALUE(RIGHT(E15,4)),VALUE(MID(E15,4,2)),VALUE(LEFT(E15,2)))-TODAY()),"—")</f>
        <v>131</v>
      </c>
      <c r="G15" s="1" t="n">
        <f aca="true">IF(D15="TEM PERFIL",IFERROR(IF(ISNUMBER(E15),E15-TODAY(),DATE(VALUE(RIGHT(E15,4)),VALUE(MID(E15,4,2)),VALUE(LEFT(E15,2)))-TODAY())+ROW()/100000,9999999+ROW()/100000),9999999+ROW()/100000)</f>
        <v>131.00015</v>
      </c>
    </row>
    <row r="16" customFormat="false" ht="15" hidden="false" customHeight="true" outlineLevel="0" collapsed="false">
      <c r="A16" s="1" t="s">
        <v>303</v>
      </c>
      <c r="B16" s="1" t="str">
        <f aca="false">VEICULOS!C20</f>
        <v>FQMBH72</v>
      </c>
      <c r="D16" s="1" t="str">
        <f aca="false">VEICULOS!D20</f>
        <v>TEM PERFIL</v>
      </c>
      <c r="E16" s="51" t="str">
        <f aca="false">VEICULOS!E20</f>
        <v>12/01/2027</v>
      </c>
      <c r="F16" s="1" t="n">
        <f aca="true">IFERROR(IF(ISNUMBER(E16),E16-TODAY(),DATE(VALUE(RIGHT(E16,4)),VALUE(MID(E16,4,2)),VALUE(LEFT(E16,2)))-TODAY()),"—")</f>
        <v>130</v>
      </c>
      <c r="G16" s="1" t="n">
        <f aca="true">IF(D16="TEM PERFIL",IFERROR(IF(ISNUMBER(E16),E16-TODAY(),DATE(VALUE(RIGHT(E16,4)),VALUE(MID(E16,4,2)),VALUE(LEFT(E16,2)))-TODAY())+ROW()/100000,9999999+ROW()/100000),9999999+ROW()/100000)</f>
        <v>130.00016</v>
      </c>
    </row>
    <row r="17" customFormat="false" ht="15" hidden="false" customHeight="true" outlineLevel="0" collapsed="false">
      <c r="A17" s="1" t="s">
        <v>303</v>
      </c>
      <c r="B17" s="1" t="str">
        <f aca="false">VEICULOS!C21</f>
        <v>ORC8G70</v>
      </c>
      <c r="D17" s="1" t="str">
        <f aca="false">VEICULOS!D21</f>
        <v>TEM PERFIL</v>
      </c>
      <c r="E17" s="51" t="str">
        <f aca="false">VEICULOS!E21</f>
        <v>09/02/2027</v>
      </c>
      <c r="F17" s="1" t="n">
        <f aca="true">IFERROR(IF(ISNUMBER(E17),E17-TODAY(),DATE(VALUE(RIGHT(E17,4)),VALUE(MID(E17,4,2)),VALUE(LEFT(E17,2)))-TODAY()),"—")</f>
        <v>158</v>
      </c>
      <c r="G17" s="1" t="n">
        <f aca="true">IF(D17="TEM PERFIL",IFERROR(IF(ISNUMBER(E17),E17-TODAY(),DATE(VALUE(RIGHT(E17,4)),VALUE(MID(E17,4,2)),VALUE(LEFT(E17,2)))-TODAY())+ROW()/100000,9999999+ROW()/100000),9999999+ROW()/100000)</f>
        <v>158.00017</v>
      </c>
    </row>
    <row r="18" customFormat="false" ht="15" hidden="false" customHeight="true" outlineLevel="0" collapsed="false">
      <c r="A18" s="1" t="s">
        <v>303</v>
      </c>
      <c r="B18" s="1" t="str">
        <f aca="false">VEICULOS!C22</f>
        <v>SWN5C43</v>
      </c>
      <c r="D18" s="1" t="str">
        <f aca="false">VEICULOS!D22</f>
        <v>TEM PERFIL</v>
      </c>
      <c r="E18" s="51" t="str">
        <f aca="false">VEICULOS!E22</f>
        <v>28/01/2027</v>
      </c>
      <c r="F18" s="1" t="n">
        <f aca="true">IFERROR(IF(ISNUMBER(E18),E18-TODAY(),DATE(VALUE(RIGHT(E18,4)),VALUE(MID(E18,4,2)),VALUE(LEFT(E18,2)))-TODAY()),"—")</f>
        <v>146</v>
      </c>
      <c r="G18" s="1" t="n">
        <f aca="true">IF(D18="TEM PERFIL",IFERROR(IF(ISNUMBER(E18),E18-TODAY(),DATE(VALUE(RIGHT(E18,4)),VALUE(MID(E18,4,2)),VALUE(LEFT(E18,2)))-TODAY())+ROW()/100000,9999999+ROW()/100000),9999999+ROW()/100000)</f>
        <v>146.00018</v>
      </c>
    </row>
    <row r="19" customFormat="false" ht="15" hidden="false" customHeight="true" outlineLevel="0" collapsed="false">
      <c r="A19" s="1" t="s">
        <v>303</v>
      </c>
      <c r="B19" s="1" t="str">
        <f aca="false">VEICULOS!C23</f>
        <v>STU7G01</v>
      </c>
      <c r="D19" s="1" t="str">
        <f aca="false">VEICULOS!D23</f>
        <v>TEM PERFIL</v>
      </c>
      <c r="E19" s="51" t="str">
        <f aca="false">VEICULOS!E23</f>
        <v>28/01/2027</v>
      </c>
      <c r="F19" s="1" t="n">
        <f aca="true">IFERROR(IF(ISNUMBER(E19),E19-TODAY(),DATE(VALUE(RIGHT(E19,4)),VALUE(MID(E19,4,2)),VALUE(LEFT(E19,2)))-TODAY()),"—")</f>
        <v>146</v>
      </c>
      <c r="G19" s="1" t="n">
        <f aca="true">IF(D19="TEM PERFIL",IFERROR(IF(ISNUMBER(E19),E19-TODAY(),DATE(VALUE(RIGHT(E19,4)),VALUE(MID(E19,4,2)),VALUE(LEFT(E19,2)))-TODAY())+ROW()/100000,9999999+ROW()/100000),9999999+ROW()/100000)</f>
        <v>146.00019</v>
      </c>
    </row>
    <row r="20" customFormat="false" ht="15" hidden="false" customHeight="true" outlineLevel="0" collapsed="false">
      <c r="A20" s="1" t="s">
        <v>303</v>
      </c>
      <c r="B20" s="1" t="str">
        <f aca="false">VEICULOS!C24</f>
        <v>SUJ5G29</v>
      </c>
      <c r="D20" s="1" t="str">
        <f aca="false">VEICULOS!D24</f>
        <v>DOCUMENTO VENCIDO</v>
      </c>
      <c r="E20" s="51" t="n">
        <f aca="false">VEICULOS!E24</f>
        <v>0</v>
      </c>
      <c r="F20" s="1" t="str">
        <f aca="true">IFERROR(IF(ISNUMBER(E20),E20-TODAY(),DATE(VALUE(RIGHT(E20,4)),VALUE(MID(E20,4,2)),VALUE(LEFT(E20,2)))-TODAY()),"—")</f>
        <v>—</v>
      </c>
      <c r="G20" s="1" t="n">
        <f aca="true">IF(D20="TEM PERFIL",IFERROR(IF(ISNUMBER(E20),E20-TODAY(),DATE(VALUE(RIGHT(E20,4)),VALUE(MID(E20,4,2)),VALUE(LEFT(E20,2)))-TODAY())+ROW()/100000,9999999+ROW()/100000),9999999+ROW()/100000)</f>
        <v>9999999.0002</v>
      </c>
    </row>
    <row r="21" customFormat="false" ht="15" hidden="false" customHeight="true" outlineLevel="0" collapsed="false">
      <c r="A21" s="1" t="s">
        <v>303</v>
      </c>
      <c r="B21" s="1" t="str">
        <f aca="false">VEICULOS!C25</f>
        <v>FPI3H41</v>
      </c>
      <c r="D21" s="1" t="str">
        <f aca="false">VEICULOS!D25</f>
        <v>TEM PERFIL</v>
      </c>
      <c r="E21" s="51" t="str">
        <f aca="false">VEICULOS!E25</f>
        <v>28/01/2027</v>
      </c>
      <c r="F21" s="1" t="n">
        <f aca="true">IFERROR(IF(ISNUMBER(E21),E21-TODAY(),DATE(VALUE(RIGHT(E21,4)),VALUE(MID(E21,4,2)),VALUE(LEFT(E21,2)))-TODAY()),"—")</f>
        <v>146</v>
      </c>
      <c r="G21" s="1" t="n">
        <f aca="true">IF(D21="TEM PERFIL",IFERROR(IF(ISNUMBER(E21),E21-TODAY(),DATE(VALUE(RIGHT(E21,4)),VALUE(MID(E21,4,2)),VALUE(LEFT(E21,2)))-TODAY())+ROW()/100000,9999999+ROW()/100000),9999999+ROW()/100000)</f>
        <v>146.00021</v>
      </c>
    </row>
    <row r="22" customFormat="false" ht="15" hidden="false" customHeight="true" outlineLevel="0" collapsed="false">
      <c r="A22" s="1" t="s">
        <v>303</v>
      </c>
      <c r="B22" s="1" t="str">
        <f aca="false">VEICULOS!C26</f>
        <v>IYX5I53</v>
      </c>
      <c r="D22" s="1" t="str">
        <f aca="false">VEICULOS!D26</f>
        <v>TEM PERFIL</v>
      </c>
      <c r="E22" s="51" t="str">
        <f aca="false">VEICULOS!E26</f>
        <v>28/01/2027</v>
      </c>
      <c r="F22" s="1" t="n">
        <f aca="true">IFERROR(IF(ISNUMBER(E22),E22-TODAY(),DATE(VALUE(RIGHT(E22,4)),VALUE(MID(E22,4,2)),VALUE(LEFT(E22,2)))-TODAY()),"—")</f>
        <v>146</v>
      </c>
      <c r="G22" s="1" t="n">
        <f aca="true">IF(D22="TEM PERFIL",IFERROR(IF(ISNUMBER(E22),E22-TODAY(),DATE(VALUE(RIGHT(E22,4)),VALUE(MID(E22,4,2)),VALUE(LEFT(E22,2)))-TODAY())+ROW()/100000,9999999+ROW()/100000),9999999+ROW()/100000)</f>
        <v>146.00022</v>
      </c>
    </row>
    <row r="23" customFormat="false" ht="15" hidden="false" customHeight="true" outlineLevel="0" collapsed="false">
      <c r="A23" s="1" t="s">
        <v>303</v>
      </c>
      <c r="B23" s="1" t="str">
        <f aca="false">VEICULOS!C27</f>
        <v>OVT6J59</v>
      </c>
      <c r="D23" s="1" t="str">
        <f aca="false">VEICULOS!D27</f>
        <v>TEM PERFIL</v>
      </c>
      <c r="E23" s="51" t="str">
        <f aca="false">VEICULOS!E27</f>
        <v>28/01/2027</v>
      </c>
      <c r="F23" s="1" t="n">
        <f aca="true">IFERROR(IF(ISNUMBER(E23),E23-TODAY(),DATE(VALUE(RIGHT(E23,4)),VALUE(MID(E23,4,2)),VALUE(LEFT(E23,2)))-TODAY()),"—")</f>
        <v>146</v>
      </c>
      <c r="G23" s="1" t="n">
        <f aca="true">IF(D23="TEM PERFIL",IFERROR(IF(ISNUMBER(E23),E23-TODAY(),DATE(VALUE(RIGHT(E23,4)),VALUE(MID(E23,4,2)),VALUE(LEFT(E23,2)))-TODAY())+ROW()/100000,9999999+ROW()/100000),9999999+ROW()/100000)</f>
        <v>146.00023</v>
      </c>
    </row>
    <row r="24" customFormat="false" ht="15" hidden="false" customHeight="true" outlineLevel="0" collapsed="false">
      <c r="A24" s="1" t="s">
        <v>303</v>
      </c>
      <c r="B24" s="1" t="str">
        <f aca="false">VEICULOS!C28</f>
        <v>PPL4B01</v>
      </c>
      <c r="D24" s="1" t="str">
        <f aca="false">VEICULOS!D28</f>
        <v>TEM PERFIL</v>
      </c>
      <c r="E24" s="51" t="str">
        <f aca="false">VEICULOS!E28</f>
        <v>28/01/2027</v>
      </c>
      <c r="F24" s="1" t="n">
        <f aca="true">IFERROR(IF(ISNUMBER(E24),E24-TODAY(),DATE(VALUE(RIGHT(E24,4)),VALUE(MID(E24,4,2)),VALUE(LEFT(E24,2)))-TODAY()),"—")</f>
        <v>146</v>
      </c>
      <c r="G24" s="1" t="n">
        <f aca="true">IF(D24="TEM PERFIL",IFERROR(IF(ISNUMBER(E24),E24-TODAY(),DATE(VALUE(RIGHT(E24,4)),VALUE(MID(E24,4,2)),VALUE(LEFT(E24,2)))-TODAY())+ROW()/100000,9999999+ROW()/100000),9999999+ROW()/100000)</f>
        <v>146.00024</v>
      </c>
    </row>
    <row r="25" customFormat="false" ht="15" hidden="false" customHeight="true" outlineLevel="0" collapsed="false">
      <c r="A25" s="1" t="s">
        <v>303</v>
      </c>
      <c r="B25" s="1" t="str">
        <f aca="false">VEICULOS!C29</f>
        <v>GDS7F11</v>
      </c>
      <c r="D25" s="1" t="str">
        <f aca="false">VEICULOS!D29</f>
        <v>TEM PERFIL</v>
      </c>
      <c r="E25" s="51" t="str">
        <f aca="false">VEICULOS!E29</f>
        <v>01/03/2027</v>
      </c>
      <c r="F25" s="1" t="n">
        <f aca="true">IFERROR(IF(ISNUMBER(E25),E25-TODAY(),DATE(VALUE(RIGHT(E25,4)),VALUE(MID(E25,4,2)),VALUE(LEFT(E25,2)))-TODAY()),"—")</f>
        <v>178</v>
      </c>
      <c r="G25" s="1" t="n">
        <f aca="true">IF(D25="TEM PERFIL",IFERROR(IF(ISNUMBER(E25),E25-TODAY(),DATE(VALUE(RIGHT(E25,4)),VALUE(MID(E25,4,2)),VALUE(LEFT(E25,2)))-TODAY())+ROW()/100000,9999999+ROW()/100000),9999999+ROW()/100000)</f>
        <v>178.00025</v>
      </c>
    </row>
    <row r="26" customFormat="false" ht="15" hidden="false" customHeight="true" outlineLevel="0" collapsed="false">
      <c r="A26" s="1" t="s">
        <v>303</v>
      </c>
      <c r="B26" s="1" t="str">
        <f aca="false">VEICULOS!C30</f>
        <v>ECW0E38</v>
      </c>
      <c r="D26" s="1" t="str">
        <f aca="false">VEICULOS!D30</f>
        <v>TEM PERFIL</v>
      </c>
      <c r="E26" s="51" t="str">
        <f aca="false">VEICULOS!E30</f>
        <v>01/03/2027</v>
      </c>
      <c r="F26" s="1" t="n">
        <f aca="true">IFERROR(IF(ISNUMBER(E26),E26-TODAY(),DATE(VALUE(RIGHT(E26,4)),VALUE(MID(E26,4,2)),VALUE(LEFT(E26,2)))-TODAY()),"—")</f>
        <v>178</v>
      </c>
      <c r="G26" s="1" t="n">
        <f aca="true">IF(D26="TEM PERFIL",IFERROR(IF(ISNUMBER(E26),E26-TODAY(),DATE(VALUE(RIGHT(E26,4)),VALUE(MID(E26,4,2)),VALUE(LEFT(E26,2)))-TODAY())+ROW()/100000,9999999+ROW()/100000),9999999+ROW()/100000)</f>
        <v>178.00026</v>
      </c>
    </row>
    <row r="27" customFormat="false" ht="15" hidden="false" customHeight="true" outlineLevel="0" collapsed="false">
      <c r="A27" s="1" t="s">
        <v>303</v>
      </c>
      <c r="B27" s="1" t="str">
        <f aca="false">VEICULOS!C31</f>
        <v>SWB1D01</v>
      </c>
      <c r="D27" s="1" t="str">
        <f aca="false">VEICULOS!D31</f>
        <v>TEM PERFIL</v>
      </c>
      <c r="E27" s="51" t="str">
        <f aca="false">VEICULOS!E31</f>
        <v>06/02/2027</v>
      </c>
      <c r="F27" s="1" t="n">
        <f aca="true">IFERROR(IF(ISNUMBER(E27),E27-TODAY(),DATE(VALUE(RIGHT(E27,4)),VALUE(MID(E27,4,2)),VALUE(LEFT(E27,2)))-TODAY()),"—")</f>
        <v>155</v>
      </c>
      <c r="G27" s="1" t="n">
        <f aca="true">IF(D27="TEM PERFIL",IFERROR(IF(ISNUMBER(E27),E27-TODAY(),DATE(VALUE(RIGHT(E27,4)),VALUE(MID(E27,4,2)),VALUE(LEFT(E27,2)))-TODAY())+ROW()/100000,9999999+ROW()/100000),9999999+ROW()/100000)</f>
        <v>155.00027</v>
      </c>
    </row>
    <row r="28" customFormat="false" ht="15" hidden="false" customHeight="true" outlineLevel="0" collapsed="false">
      <c r="A28" s="1" t="s">
        <v>303</v>
      </c>
      <c r="B28" s="1" t="str">
        <f aca="false">VEICULOS!C32</f>
        <v>RNF6A66</v>
      </c>
      <c r="D28" s="1" t="str">
        <f aca="false">VEICULOS!D32</f>
        <v>TEM PERFIL</v>
      </c>
      <c r="E28" s="51" t="str">
        <f aca="false">VEICULOS!E32</f>
        <v>19/02/2027</v>
      </c>
      <c r="F28" s="1" t="n">
        <f aca="true">IFERROR(IF(ISNUMBER(E28),E28-TODAY(),DATE(VALUE(RIGHT(E28,4)),VALUE(MID(E28,4,2)),VALUE(LEFT(E28,2)))-TODAY()),"—")</f>
        <v>168</v>
      </c>
      <c r="G28" s="1" t="n">
        <f aca="true">IF(D28="TEM PERFIL",IFERROR(IF(ISNUMBER(E28),E28-TODAY(),DATE(VALUE(RIGHT(E28,4)),VALUE(MID(E28,4,2)),VALUE(LEFT(E28,2)))-TODAY())+ROW()/100000,9999999+ROW()/100000),9999999+ROW()/100000)</f>
        <v>168.00028</v>
      </c>
    </row>
    <row r="29" customFormat="false" ht="15" hidden="false" customHeight="true" outlineLevel="0" collapsed="false">
      <c r="A29" s="1" t="s">
        <v>303</v>
      </c>
      <c r="B29" s="1" t="str">
        <f aca="false">VEICULOS!C33</f>
        <v>SVZ9G23</v>
      </c>
      <c r="D29" s="1" t="str">
        <f aca="false">VEICULOS!D33</f>
        <v>TEM PERFIL</v>
      </c>
      <c r="E29" s="51" t="str">
        <f aca="false">VEICULOS!E33</f>
        <v>19/02/2027</v>
      </c>
      <c r="F29" s="1" t="n">
        <f aca="true">IFERROR(IF(ISNUMBER(E29),E29-TODAY(),DATE(VALUE(RIGHT(E29,4)),VALUE(MID(E29,4,2)),VALUE(LEFT(E29,2)))-TODAY()),"—")</f>
        <v>168</v>
      </c>
      <c r="G29" s="1" t="n">
        <f aca="true">IF(D29="TEM PERFIL",IFERROR(IF(ISNUMBER(E29),E29-TODAY(),DATE(VALUE(RIGHT(E29,4)),VALUE(MID(E29,4,2)),VALUE(LEFT(E29,2)))-TODAY())+ROW()/100000,9999999+ROW()/100000),9999999+ROW()/100000)</f>
        <v>168.00029</v>
      </c>
    </row>
    <row r="30" customFormat="false" ht="15" hidden="false" customHeight="true" outlineLevel="0" collapsed="false">
      <c r="A30" s="1" t="s">
        <v>303</v>
      </c>
      <c r="B30" s="1" t="n">
        <f aca="false">VEICULOS!C34</f>
        <v>0</v>
      </c>
      <c r="D30" s="1" t="n">
        <f aca="false">VEICULOS!D34</f>
        <v>0</v>
      </c>
      <c r="E30" s="51" t="n">
        <f aca="false">VEICULOS!E34</f>
        <v>0</v>
      </c>
      <c r="F30" s="1" t="str">
        <f aca="true">IFERROR(IF(ISNUMBER(E30),E30-TODAY(),DATE(VALUE(RIGHT(E30,4)),VALUE(MID(E30,4,2)),VALUE(LEFT(E30,2)))-TODAY()),"—")</f>
        <v>—</v>
      </c>
      <c r="G30" s="1" t="n">
        <f aca="true">IF(D30="TEM PERFIL",IFERROR(IF(ISNUMBER(E30),E30-TODAY(),DATE(VALUE(RIGHT(E30,4)),VALUE(MID(E30,4,2)),VALUE(LEFT(E30,2)))-TODAY())+ROW()/100000,9999999+ROW()/100000),9999999+ROW()/100000)</f>
        <v>9999999.0003</v>
      </c>
    </row>
    <row r="31" customFormat="false" ht="15" hidden="false" customHeight="true" outlineLevel="0" collapsed="false">
      <c r="A31" s="1" t="s">
        <v>303</v>
      </c>
      <c r="B31" s="1" t="n">
        <f aca="false">VEICULOS!C35</f>
        <v>0</v>
      </c>
      <c r="D31" s="1" t="n">
        <f aca="false">VEICULOS!D35</f>
        <v>0</v>
      </c>
      <c r="E31" s="51" t="n">
        <f aca="false">VEICULOS!E35</f>
        <v>0</v>
      </c>
      <c r="F31" s="1" t="str">
        <f aca="true">IFERROR(IF(ISNUMBER(E31),E31-TODAY(),DATE(VALUE(RIGHT(E31,4)),VALUE(MID(E31,4,2)),VALUE(LEFT(E31,2)))-TODAY()),"—")</f>
        <v>—</v>
      </c>
      <c r="G31" s="1" t="n">
        <f aca="true">IF(D31="TEM PERFIL",IFERROR(IF(ISNUMBER(E31),E31-TODAY(),DATE(VALUE(RIGHT(E31,4)),VALUE(MID(E31,4,2)),VALUE(LEFT(E31,2)))-TODAY())+ROW()/100000,9999999+ROW()/100000),9999999+ROW()/100000)</f>
        <v>9999999.00031</v>
      </c>
    </row>
    <row r="32" customFormat="false" ht="15" hidden="false" customHeight="true" outlineLevel="0" collapsed="false">
      <c r="A32" s="1" t="s">
        <v>304</v>
      </c>
      <c r="B32" s="1" t="str">
        <f aca="false">CONDUTORES!D6</f>
        <v>125.408.187-90</v>
      </c>
      <c r="C32" s="1" t="str">
        <f aca="false">CONDUTORES!E6</f>
        <v>ADONIS DA SILVA OLIVEIRA</v>
      </c>
      <c r="D32" s="1" t="str">
        <f aca="false">CONDUTORES!F6</f>
        <v>NÃO TEM PERFIL</v>
      </c>
      <c r="E32" s="51" t="n">
        <f aca="false">CONDUTORES!G6</f>
        <v>0</v>
      </c>
      <c r="F32" s="1" t="str">
        <f aca="true">IFERROR(IF(ISNUMBER(E32),E32-TODAY(),DATE(VALUE(RIGHT(E32,4)),VALUE(MID(E32,4,2)),VALUE(LEFT(E32,2)))-TODAY()),"—")</f>
        <v>—</v>
      </c>
      <c r="G32" s="1" t="n">
        <f aca="true">IF(D32="TEM PERFIL",IFERROR(IF(ISNUMBER(E32),E32-TODAY(),DATE(VALUE(RIGHT(E32,4)),VALUE(MID(E32,4,2)),VALUE(LEFT(E32,2)))-TODAY())+ROW()/100000,9999999+ROW()/100000),9999999+ROW()/100000)</f>
        <v>9999999.00032</v>
      </c>
    </row>
    <row r="33" customFormat="false" ht="15" hidden="false" customHeight="true" outlineLevel="0" collapsed="false">
      <c r="A33" s="1" t="s">
        <v>304</v>
      </c>
      <c r="B33" s="1" t="str">
        <f aca="false">CONDUTORES!D7</f>
        <v>127.858.077-82</v>
      </c>
      <c r="C33" s="1" t="str">
        <f aca="false">CONDUTORES!E7</f>
        <v>AILTON DA SILVA FERREIRA</v>
      </c>
      <c r="D33" s="1" t="str">
        <f aca="false">CONDUTORES!F7</f>
        <v>TEM PERFIL</v>
      </c>
      <c r="E33" s="51" t="n">
        <f aca="false">CONDUTORES!G7</f>
        <v>46406</v>
      </c>
      <c r="F33" s="1" t="n">
        <f aca="true">IFERROR(IF(ISNUMBER(E33),E33-TODAY(),DATE(VALUE(RIGHT(E33,4)),VALUE(MID(E33,4,2)),VALUE(LEFT(E33,2)))-TODAY()),"—")</f>
        <v>137</v>
      </c>
      <c r="G33" s="1" t="n">
        <f aca="true">IF(D33="TEM PERFIL",IFERROR(IF(ISNUMBER(E33),E33-TODAY(),DATE(VALUE(RIGHT(E33,4)),VALUE(MID(E33,4,2)),VALUE(LEFT(E33,2)))-TODAY())+ROW()/100000,9999999+ROW()/100000),9999999+ROW()/100000)</f>
        <v>137.00033</v>
      </c>
    </row>
    <row r="34" customFormat="false" ht="15" hidden="false" customHeight="true" outlineLevel="0" collapsed="false">
      <c r="A34" s="1" t="s">
        <v>304</v>
      </c>
      <c r="B34" s="1" t="str">
        <f aca="false">CONDUTORES!D8</f>
        <v>029.929.775-60</v>
      </c>
      <c r="C34" s="1" t="str">
        <f aca="false">CONDUTORES!E8</f>
        <v>ALEXSANDRO SANTOS ARAUJO</v>
      </c>
      <c r="D34" s="1" t="str">
        <f aca="false">CONDUTORES!F8</f>
        <v>TEM PERFIL</v>
      </c>
      <c r="E34" s="51" t="str">
        <f aca="false">CONDUTORES!G8</f>
        <v>04/03/2027</v>
      </c>
      <c r="F34" s="1" t="n">
        <f aca="true">IFERROR(IF(ISNUMBER(E34),E34-TODAY(),DATE(VALUE(RIGHT(E34,4)),VALUE(MID(E34,4,2)),VALUE(LEFT(E34,2)))-TODAY()),"—")</f>
        <v>181</v>
      </c>
      <c r="G34" s="1" t="n">
        <f aca="true">IF(D34="TEM PERFIL",IFERROR(IF(ISNUMBER(E34),E34-TODAY(),DATE(VALUE(RIGHT(E34,4)),VALUE(MID(E34,4,2)),VALUE(LEFT(E34,2)))-TODAY())+ROW()/100000,9999999+ROW()/100000),9999999+ROW()/100000)</f>
        <v>181.00034</v>
      </c>
    </row>
    <row r="35" customFormat="false" ht="15" hidden="false" customHeight="true" outlineLevel="0" collapsed="false">
      <c r="A35" s="1" t="s">
        <v>304</v>
      </c>
      <c r="B35" s="1" t="str">
        <f aca="false">CONDUTORES!D9</f>
        <v>119.554.197-01</v>
      </c>
      <c r="C35" s="1" t="str">
        <f aca="false">CONDUTORES!E9</f>
        <v>ANTONIO CARLOS DOS SANTOS XAVIER</v>
      </c>
      <c r="D35" s="1" t="str">
        <f aca="false">CONDUTORES!F9</f>
        <v>TEM PERFIL</v>
      </c>
      <c r="E35" s="51" t="str">
        <f aca="false">CONDUTORES!G9</f>
        <v>14/01/2027</v>
      </c>
      <c r="F35" s="1" t="n">
        <f aca="true">IFERROR(IF(ISNUMBER(E35),E35-TODAY(),DATE(VALUE(RIGHT(E35,4)),VALUE(MID(E35,4,2)),VALUE(LEFT(E35,2)))-TODAY()),"—")</f>
        <v>132</v>
      </c>
      <c r="G35" s="1" t="n">
        <f aca="true">IF(D35="TEM PERFIL",IFERROR(IF(ISNUMBER(E35),E35-TODAY(),DATE(VALUE(RIGHT(E35,4)),VALUE(MID(E35,4,2)),VALUE(LEFT(E35,2)))-TODAY())+ROW()/100000,9999999+ROW()/100000),9999999+ROW()/100000)</f>
        <v>132.00035</v>
      </c>
    </row>
    <row r="36" customFormat="false" ht="15" hidden="false" customHeight="true" outlineLevel="0" collapsed="false">
      <c r="A36" s="1" t="s">
        <v>304</v>
      </c>
      <c r="B36" s="1" t="str">
        <f aca="false">CONDUTORES!D10</f>
        <v>052.956.511-00</v>
      </c>
      <c r="C36" s="1" t="str">
        <f aca="false">CONDUTORES!E10</f>
        <v>BRAYNO AFONSECA DA SILVA</v>
      </c>
      <c r="D36" s="1" t="str">
        <f aca="false">CONDUTORES!F10</f>
        <v>TEM PERFIL</v>
      </c>
      <c r="E36" s="51" t="str">
        <f aca="false">CONDUTORES!G10</f>
        <v>04/03/2027</v>
      </c>
      <c r="F36" s="1" t="n">
        <f aca="true">IFERROR(IF(ISNUMBER(E36),E36-TODAY(),DATE(VALUE(RIGHT(E36,4)),VALUE(MID(E36,4,2)),VALUE(LEFT(E36,2)))-TODAY()),"—")</f>
        <v>181</v>
      </c>
      <c r="G36" s="1" t="n">
        <f aca="true">IF(D36="TEM PERFIL",IFERROR(IF(ISNUMBER(E36),E36-TODAY(),DATE(VALUE(RIGHT(E36,4)),VALUE(MID(E36,4,2)),VALUE(LEFT(E36,2)))-TODAY())+ROW()/100000,9999999+ROW()/100000),9999999+ROW()/100000)</f>
        <v>181.00036</v>
      </c>
    </row>
    <row r="37" customFormat="false" ht="15" hidden="false" customHeight="true" outlineLevel="0" collapsed="false">
      <c r="A37" s="1" t="s">
        <v>304</v>
      </c>
      <c r="B37" s="1" t="str">
        <f aca="false">CONDUTORES!D11</f>
        <v>18665936769</v>
      </c>
      <c r="C37" s="1" t="str">
        <f aca="false">CONDUTORES!E11</f>
        <v>BRENNER FONSECA DO SERRO</v>
      </c>
      <c r="D37" s="1" t="str">
        <f aca="false">CONDUTORES!F11</f>
        <v>TEM PERFIL</v>
      </c>
      <c r="E37" s="51" t="str">
        <f aca="false">CONDUTORES!G11</f>
        <v>17/12/2026</v>
      </c>
      <c r="F37" s="1" t="n">
        <f aca="true">IFERROR(IF(ISNUMBER(E37),E37-TODAY(),DATE(VALUE(RIGHT(E37,4)),VALUE(MID(E37,4,2)),VALUE(LEFT(E37,2)))-TODAY()),"—")</f>
        <v>104</v>
      </c>
      <c r="G37" s="1" t="n">
        <f aca="true">IF(D37="TEM PERFIL",IFERROR(IF(ISNUMBER(E37),E37-TODAY(),DATE(VALUE(RIGHT(E37,4)),VALUE(MID(E37,4,2)),VALUE(LEFT(E37,2)))-TODAY())+ROW()/100000,9999999+ROW()/100000),9999999+ROW()/100000)</f>
        <v>104.00037</v>
      </c>
    </row>
    <row r="38" customFormat="false" ht="15" hidden="false" customHeight="true" outlineLevel="0" collapsed="false">
      <c r="A38" s="1" t="s">
        <v>304</v>
      </c>
      <c r="B38" s="1" t="str">
        <f aca="false">CONDUTORES!D12</f>
        <v>505.186.938-64</v>
      </c>
      <c r="C38" s="1" t="str">
        <f aca="false">CONDUTORES!E12</f>
        <v>BRUNO GONCALVES EVANGELISTA</v>
      </c>
      <c r="D38" s="1" t="str">
        <f aca="false">CONDUTORES!F12</f>
        <v>TEM PERFIL</v>
      </c>
      <c r="E38" s="51" t="str">
        <f aca="false">CONDUTORES!G12</f>
        <v>16/12/2026</v>
      </c>
      <c r="F38" s="1" t="n">
        <f aca="true">IFERROR(IF(ISNUMBER(E38),E38-TODAY(),DATE(VALUE(RIGHT(E38,4)),VALUE(MID(E38,4,2)),VALUE(LEFT(E38,2)))-TODAY()),"—")</f>
        <v>103</v>
      </c>
      <c r="G38" s="1" t="n">
        <f aca="true">IF(D38="TEM PERFIL",IFERROR(IF(ISNUMBER(E38),E38-TODAY(),DATE(VALUE(RIGHT(E38,4)),VALUE(MID(E38,4,2)),VALUE(LEFT(E38,2)))-TODAY())+ROW()/100000,9999999+ROW()/100000),9999999+ROW()/100000)</f>
        <v>103.00038</v>
      </c>
    </row>
    <row r="39" customFormat="false" ht="15" hidden="false" customHeight="true" outlineLevel="0" collapsed="false">
      <c r="A39" s="1" t="s">
        <v>304</v>
      </c>
      <c r="B39" s="1" t="str">
        <f aca="false">CONDUTORES!D13</f>
        <v>051.336.641-50</v>
      </c>
      <c r="C39" s="1" t="str">
        <f aca="false">CONDUTORES!E13</f>
        <v>CARLOS AUGUSTO DE CARVALHO JUNIOR</v>
      </c>
      <c r="D39" s="1" t="str">
        <f aca="false">CONDUTORES!F13</f>
        <v>TEM PERFIL</v>
      </c>
      <c r="E39" s="51" t="str">
        <f aca="false">CONDUTORES!G13</f>
        <v>29/12/2026</v>
      </c>
      <c r="F39" s="1" t="n">
        <f aca="true">IFERROR(IF(ISNUMBER(E39),E39-TODAY(),DATE(VALUE(RIGHT(E39,4)),VALUE(MID(E39,4,2)),VALUE(LEFT(E39,2)))-TODAY()),"—")</f>
        <v>116</v>
      </c>
      <c r="G39" s="1" t="n">
        <f aca="true">IF(D39="TEM PERFIL",IFERROR(IF(ISNUMBER(E39),E39-TODAY(),DATE(VALUE(RIGHT(E39,4)),VALUE(MID(E39,4,2)),VALUE(LEFT(E39,2)))-TODAY())+ROW()/100000,9999999+ROW()/100000),9999999+ROW()/100000)</f>
        <v>116.00039</v>
      </c>
    </row>
    <row r="40" customFormat="false" ht="15" hidden="false" customHeight="true" outlineLevel="0" collapsed="false">
      <c r="A40" s="1" t="s">
        <v>304</v>
      </c>
      <c r="B40" s="1" t="str">
        <f aca="false">CONDUTORES!D14</f>
        <v>109.680.647-95</v>
      </c>
      <c r="C40" s="1" t="str">
        <f aca="false">CONDUTORES!E14</f>
        <v>CASSIO SILVA DE JESUS</v>
      </c>
      <c r="D40" s="1" t="str">
        <f aca="false">CONDUTORES!F14</f>
        <v>TEM PERFIL</v>
      </c>
      <c r="E40" s="51" t="str">
        <f aca="false">CONDUTORES!G14</f>
        <v>05/01/2027</v>
      </c>
      <c r="F40" s="1" t="n">
        <f aca="true">IFERROR(IF(ISNUMBER(E40),E40-TODAY(),DATE(VALUE(RIGHT(E40,4)),VALUE(MID(E40,4,2)),VALUE(LEFT(E40,2)))-TODAY()),"—")</f>
        <v>123</v>
      </c>
      <c r="G40" s="1" t="n">
        <f aca="true">IF(D40="TEM PERFIL",IFERROR(IF(ISNUMBER(E40),E40-TODAY(),DATE(VALUE(RIGHT(E40,4)),VALUE(MID(E40,4,2)),VALUE(LEFT(E40,2)))-TODAY())+ROW()/100000,9999999+ROW()/100000),9999999+ROW()/100000)</f>
        <v>123.0004</v>
      </c>
    </row>
    <row r="41" customFormat="false" ht="15" hidden="false" customHeight="true" outlineLevel="0" collapsed="false">
      <c r="A41" s="1" t="s">
        <v>304</v>
      </c>
      <c r="B41" s="1" t="str">
        <f aca="false">CONDUTORES!D15</f>
        <v>385.220.428-37</v>
      </c>
      <c r="C41" s="1" t="str">
        <f aca="false">CONDUTORES!E15</f>
        <v>DIEGO PEREIRA ALEXANDRE</v>
      </c>
      <c r="D41" s="1" t="str">
        <f aca="false">CONDUTORES!F15</f>
        <v>TEM PERFIL</v>
      </c>
      <c r="E41" s="51" t="str">
        <f aca="false">CONDUTORES!G15</f>
        <v>04/03/2027</v>
      </c>
      <c r="F41" s="1" t="n">
        <f aca="true">IFERROR(IF(ISNUMBER(E41),E41-TODAY(),DATE(VALUE(RIGHT(E41,4)),VALUE(MID(E41,4,2)),VALUE(LEFT(E41,2)))-TODAY()),"—")</f>
        <v>181</v>
      </c>
      <c r="G41" s="1" t="n">
        <f aca="true">IF(D41="TEM PERFIL",IFERROR(IF(ISNUMBER(E41),E41-TODAY(),DATE(VALUE(RIGHT(E41,4)),VALUE(MID(E41,4,2)),VALUE(LEFT(E41,2)))-TODAY())+ROW()/100000,9999999+ROW()/100000),9999999+ROW()/100000)</f>
        <v>181.00041</v>
      </c>
    </row>
    <row r="42" customFormat="false" ht="15" hidden="false" customHeight="true" outlineLevel="0" collapsed="false">
      <c r="A42" s="1" t="s">
        <v>304</v>
      </c>
      <c r="B42" s="1" t="str">
        <f aca="false">CONDUTORES!D16</f>
        <v>425.064.648-32</v>
      </c>
      <c r="C42" s="1" t="str">
        <f aca="false">CONDUTORES!E16</f>
        <v>FABIANO CORREIA DA SILVA</v>
      </c>
      <c r="D42" s="1" t="str">
        <f aca="false">CONDUTORES!F16</f>
        <v>TEM PERFIL</v>
      </c>
      <c r="E42" s="51" t="str">
        <f aca="false">CONDUTORES!G16</f>
        <v>13/04/2027</v>
      </c>
      <c r="F42" s="1" t="n">
        <f aca="true">IFERROR(IF(ISNUMBER(E42),E42-TODAY(),DATE(VALUE(RIGHT(E42,4)),VALUE(MID(E42,4,2)),VALUE(LEFT(E42,2)))-TODAY()),"—")</f>
        <v>221</v>
      </c>
      <c r="G42" s="1" t="n">
        <f aca="true">IF(D42="TEM PERFIL",IFERROR(IF(ISNUMBER(E42),E42-TODAY(),DATE(VALUE(RIGHT(E42,4)),VALUE(MID(E42,4,2)),VALUE(LEFT(E42,2)))-TODAY())+ROW()/100000,9999999+ROW()/100000),9999999+ROW()/100000)</f>
        <v>221.00042</v>
      </c>
    </row>
    <row r="43" customFormat="false" ht="15" hidden="false" customHeight="true" outlineLevel="0" collapsed="false">
      <c r="A43" s="1" t="s">
        <v>304</v>
      </c>
      <c r="B43" s="1" t="str">
        <f aca="false">CONDUTORES!D17</f>
        <v>054.023.726-40</v>
      </c>
      <c r="C43" s="1" t="str">
        <f aca="false">CONDUTORES!E17</f>
        <v>FABIANO GOMES DOS SANTOS</v>
      </c>
      <c r="D43" s="1" t="str">
        <f aca="false">CONDUTORES!F17</f>
        <v>TEM PERFIL</v>
      </c>
      <c r="E43" s="51" t="str">
        <f aca="false">CONDUTORES!G17</f>
        <v>02/01/2027</v>
      </c>
      <c r="F43" s="1" t="n">
        <f aca="true">IFERROR(IF(ISNUMBER(E43),E43-TODAY(),DATE(VALUE(RIGHT(E43,4)),VALUE(MID(E43,4,2)),VALUE(LEFT(E43,2)))-TODAY()),"—")</f>
        <v>120</v>
      </c>
      <c r="G43" s="1" t="n">
        <f aca="true">IF(D43="TEM PERFIL",IFERROR(IF(ISNUMBER(E43),E43-TODAY(),DATE(VALUE(RIGHT(E43,4)),VALUE(MID(E43,4,2)),VALUE(LEFT(E43,2)))-TODAY())+ROW()/100000,9999999+ROW()/100000),9999999+ROW()/100000)</f>
        <v>120.00043</v>
      </c>
    </row>
    <row r="44" customFormat="false" ht="15" hidden="false" customHeight="true" outlineLevel="0" collapsed="false">
      <c r="A44" s="1" t="s">
        <v>304</v>
      </c>
      <c r="B44" s="1" t="str">
        <f aca="false">CONDUTORES!D18</f>
        <v>020.210.767-17</v>
      </c>
      <c r="C44" s="1" t="str">
        <f aca="false">CONDUTORES!E18</f>
        <v>FERNANDO FELIX CYPRESTE</v>
      </c>
      <c r="D44" s="1" t="str">
        <f aca="false">CONDUTORES!F18</f>
        <v>TEM PERFIL</v>
      </c>
      <c r="E44" s="51" t="str">
        <f aca="false">CONDUTORES!G18</f>
        <v>04/03/2027</v>
      </c>
      <c r="F44" s="1" t="n">
        <f aca="true">IFERROR(IF(ISNUMBER(E44),E44-TODAY(),DATE(VALUE(RIGHT(E44,4)),VALUE(MID(E44,4,2)),VALUE(LEFT(E44,2)))-TODAY()),"—")</f>
        <v>181</v>
      </c>
      <c r="G44" s="1" t="n">
        <f aca="true">IF(D44="TEM PERFIL",IFERROR(IF(ISNUMBER(E44),E44-TODAY(),DATE(VALUE(RIGHT(E44,4)),VALUE(MID(E44,4,2)),VALUE(LEFT(E44,2)))-TODAY())+ROW()/100000,9999999+ROW()/100000),9999999+ROW()/100000)</f>
        <v>181.00044</v>
      </c>
    </row>
    <row r="45" customFormat="false" ht="15" hidden="false" customHeight="true" outlineLevel="0" collapsed="false">
      <c r="A45" s="1" t="s">
        <v>304</v>
      </c>
      <c r="B45" s="1" t="str">
        <f aca="false">CONDUTORES!D19</f>
        <v>131.246.997-85</v>
      </c>
      <c r="C45" s="1" t="str">
        <f aca="false">CONDUTORES!E19</f>
        <v>GABRIEL DE FREITAS MIRANDA SILVA</v>
      </c>
      <c r="D45" s="1" t="str">
        <f aca="false">CONDUTORES!F19</f>
        <v>TEM PERFIL</v>
      </c>
      <c r="E45" s="51" t="str">
        <f aca="false">CONDUTORES!G19</f>
        <v>29/01/2027</v>
      </c>
      <c r="F45" s="1" t="n">
        <f aca="true">IFERROR(IF(ISNUMBER(E45),E45-TODAY(),DATE(VALUE(RIGHT(E45,4)),VALUE(MID(E45,4,2)),VALUE(LEFT(E45,2)))-TODAY()),"—")</f>
        <v>147</v>
      </c>
      <c r="G45" s="1" t="n">
        <f aca="true">IF(D45="TEM PERFIL",IFERROR(IF(ISNUMBER(E45),E45-TODAY(),DATE(VALUE(RIGHT(E45,4)),VALUE(MID(E45,4,2)),VALUE(LEFT(E45,2)))-TODAY())+ROW()/100000,9999999+ROW()/100000),9999999+ROW()/100000)</f>
        <v>147.00045</v>
      </c>
    </row>
    <row r="46" customFormat="false" ht="15" hidden="false" customHeight="true" outlineLevel="0" collapsed="false">
      <c r="A46" s="1" t="s">
        <v>304</v>
      </c>
      <c r="B46" s="1" t="str">
        <f aca="false">CONDUTORES!D20</f>
        <v>216.652.778-74</v>
      </c>
      <c r="C46" s="1" t="str">
        <f aca="false">CONDUTORES!E20</f>
        <v>HEBER AUGUSTO BARBOSA DE SOUZA</v>
      </c>
      <c r="D46" s="1" t="str">
        <f aca="false">CONDUTORES!F20</f>
        <v>TEM PERFIL</v>
      </c>
      <c r="E46" s="52" t="n">
        <f aca="false">CONDUTORES!G20</f>
        <v>46336</v>
      </c>
      <c r="F46" s="1" t="n">
        <f aca="true">IFERROR(IF(ISNUMBER(E46),E46-TODAY(),DATE(VALUE(RIGHT(E46,4)),VALUE(MID(E46,4,2)),VALUE(LEFT(E46,2)))-TODAY()),"—")</f>
        <v>67</v>
      </c>
      <c r="G46" s="1" t="n">
        <f aca="true">IF(D46="TEM PERFIL",IFERROR(IF(ISNUMBER(E46),E46-TODAY(),DATE(VALUE(RIGHT(E46,4)),VALUE(MID(E46,4,2)),VALUE(LEFT(E46,2)))-TODAY())+ROW()/100000,9999999+ROW()/100000),9999999+ROW()/100000)</f>
        <v>67.00046</v>
      </c>
    </row>
    <row r="47" customFormat="false" ht="15" hidden="false" customHeight="true" outlineLevel="0" collapsed="false">
      <c r="A47" s="1" t="s">
        <v>304</v>
      </c>
      <c r="B47" s="1" t="str">
        <f aca="false">CONDUTORES!D21</f>
        <v>183.486.227-21</v>
      </c>
      <c r="C47" s="1" t="str">
        <f aca="false">CONDUTORES!E21</f>
        <v>IGOR GOMES BENTO</v>
      </c>
      <c r="D47" s="1" t="str">
        <f aca="false">CONDUTORES!F21</f>
        <v>TEM PERFIL</v>
      </c>
      <c r="E47" s="51" t="str">
        <f aca="false">CONDUTORES!G21</f>
        <v>11/08/2026</v>
      </c>
      <c r="F47" s="1" t="n">
        <f aca="true">IFERROR(IF(ISNUMBER(E47),E47-TODAY(),DATE(VALUE(RIGHT(E47,4)),VALUE(MID(E47,4,2)),VALUE(LEFT(E47,2)))-TODAY()),"—")</f>
        <v>-24</v>
      </c>
      <c r="G47" s="1" t="n">
        <f aca="true">IF(D47="TEM PERFIL",IFERROR(IF(ISNUMBER(E47),E47-TODAY(),DATE(VALUE(RIGHT(E47,4)),VALUE(MID(E47,4,2)),VALUE(LEFT(E47,2)))-TODAY())+ROW()/100000,9999999+ROW()/100000),9999999+ROW()/100000)</f>
        <v>-23.99953</v>
      </c>
    </row>
    <row r="48" customFormat="false" ht="15" hidden="false" customHeight="true" outlineLevel="0" collapsed="false">
      <c r="A48" s="1" t="s">
        <v>304</v>
      </c>
      <c r="B48" s="1" t="str">
        <f aca="false">CONDUTORES!D22</f>
        <v>151.986.837-52</v>
      </c>
      <c r="C48" s="1" t="str">
        <f aca="false">CONDUTORES!E22</f>
        <v>JORGE LUIZ DA SILVA PINTO</v>
      </c>
      <c r="D48" s="1" t="str">
        <f aca="false">CONDUTORES!F22</f>
        <v>NÃO TEM PERFIL</v>
      </c>
      <c r="E48" s="51" t="n">
        <f aca="false">CONDUTORES!G22</f>
        <v>0</v>
      </c>
      <c r="F48" s="1" t="str">
        <f aca="true">IFERROR(IF(ISNUMBER(E48),E48-TODAY(),DATE(VALUE(RIGHT(E48,4)),VALUE(MID(E48,4,2)),VALUE(LEFT(E48,2)))-TODAY()),"—")</f>
        <v>—</v>
      </c>
      <c r="G48" s="1" t="n">
        <f aca="true">IF(D48="TEM PERFIL",IFERROR(IF(ISNUMBER(E48),E48-TODAY(),DATE(VALUE(RIGHT(E48,4)),VALUE(MID(E48,4,2)),VALUE(LEFT(E48,2)))-TODAY())+ROW()/100000,9999999+ROW()/100000),9999999+ROW()/100000)</f>
        <v>9999999.00048</v>
      </c>
    </row>
    <row r="49" customFormat="false" ht="15" hidden="false" customHeight="true" outlineLevel="0" collapsed="false">
      <c r="A49" s="1" t="s">
        <v>304</v>
      </c>
      <c r="B49" s="1" t="str">
        <f aca="false">CONDUTORES!D23</f>
        <v>323.725.878-46</v>
      </c>
      <c r="C49" s="1" t="str">
        <f aca="false">CONDUTORES!E23</f>
        <v>JORGE LUIZ DOS SANTOS</v>
      </c>
      <c r="D49" s="1" t="str">
        <f aca="false">CONDUTORES!F23</f>
        <v>DADOS DIVERGENTES</v>
      </c>
      <c r="E49" s="51" t="n">
        <f aca="false">CONDUTORES!G23</f>
        <v>0</v>
      </c>
      <c r="F49" s="1" t="str">
        <f aca="true">IFERROR(IF(ISNUMBER(E49),E49-TODAY(),DATE(VALUE(RIGHT(E49,4)),VALUE(MID(E49,4,2)),VALUE(LEFT(E49,2)))-TODAY()),"—")</f>
        <v>—</v>
      </c>
      <c r="G49" s="1" t="n">
        <f aca="true">IF(D49="TEM PERFIL",IFERROR(IF(ISNUMBER(E49),E49-TODAY(),DATE(VALUE(RIGHT(E49,4)),VALUE(MID(E49,4,2)),VALUE(LEFT(E49,2)))-TODAY())+ROW()/100000,9999999+ROW()/100000),9999999+ROW()/100000)</f>
        <v>9999999.00049</v>
      </c>
    </row>
    <row r="50" customFormat="false" ht="15" hidden="false" customHeight="true" outlineLevel="0" collapsed="false">
      <c r="A50" s="1" t="s">
        <v>304</v>
      </c>
      <c r="B50" s="1" t="str">
        <f aca="false">CONDUTORES!D24</f>
        <v>095.588.327-07</v>
      </c>
      <c r="C50" s="1" t="str">
        <f aca="false">CONDUTORES!E24</f>
        <v>JOSÉ ROBERTO DA SILVA</v>
      </c>
      <c r="D50" s="1" t="str">
        <f aca="false">CONDUTORES!F24</f>
        <v>TEM PERFIL</v>
      </c>
      <c r="E50" s="51" t="str">
        <f aca="false">CONDUTORES!G24</f>
        <v>28/01/2027</v>
      </c>
      <c r="F50" s="1" t="n">
        <f aca="true">IFERROR(IF(ISNUMBER(E50),E50-TODAY(),DATE(VALUE(RIGHT(E50,4)),VALUE(MID(E50,4,2)),VALUE(LEFT(E50,2)))-TODAY()),"—")</f>
        <v>146</v>
      </c>
      <c r="G50" s="1" t="n">
        <f aca="true">IF(D50="TEM PERFIL",IFERROR(IF(ISNUMBER(E50),E50-TODAY(),DATE(VALUE(RIGHT(E50,4)),VALUE(MID(E50,4,2)),VALUE(LEFT(E50,2)))-TODAY())+ROW()/100000,9999999+ROW()/100000),9999999+ROW()/100000)</f>
        <v>146.0005</v>
      </c>
    </row>
    <row r="51" customFormat="false" ht="15" hidden="false" customHeight="true" outlineLevel="0" collapsed="false">
      <c r="A51" s="1" t="s">
        <v>304</v>
      </c>
      <c r="B51" s="1" t="str">
        <f aca="false">CONDUTORES!D25</f>
        <v>124.385.846-02</v>
      </c>
      <c r="C51" s="1" t="str">
        <f aca="false">CONDUTORES!E25</f>
        <v>LUCAS ALBERTO REIS</v>
      </c>
      <c r="D51" s="1" t="str">
        <f aca="false">CONDUTORES!F25</f>
        <v>NÃO TEM PERFIL</v>
      </c>
      <c r="E51" s="51" t="n">
        <f aca="false">CONDUTORES!G25</f>
        <v>0</v>
      </c>
      <c r="F51" s="1" t="str">
        <f aca="true">IFERROR(IF(ISNUMBER(E51),E51-TODAY(),DATE(VALUE(RIGHT(E51,4)),VALUE(MID(E51,4,2)),VALUE(LEFT(E51,2)))-TODAY()),"—")</f>
        <v>—</v>
      </c>
      <c r="G51" s="1" t="n">
        <f aca="true">IF(D51="TEM PERFIL",IFERROR(IF(ISNUMBER(E51),E51-TODAY(),DATE(VALUE(RIGHT(E51,4)),VALUE(MID(E51,4,2)),VALUE(LEFT(E51,2)))-TODAY())+ROW()/100000,9999999+ROW()/100000),9999999+ROW()/100000)</f>
        <v>9999999.00051</v>
      </c>
    </row>
    <row r="52" customFormat="false" ht="15" hidden="false" customHeight="true" outlineLevel="0" collapsed="false">
      <c r="A52" s="1" t="s">
        <v>304</v>
      </c>
      <c r="B52" s="1" t="str">
        <f aca="false">CONDUTORES!D26</f>
        <v>127.909.057-03</v>
      </c>
      <c r="C52" s="1" t="str">
        <f aca="false">CONDUTORES!E26</f>
        <v>LUIZ HENRIQUE ASSIS DA SILVA</v>
      </c>
      <c r="D52" s="1" t="str">
        <f aca="false">CONDUTORES!F26</f>
        <v>NÃO TEM PERFIL</v>
      </c>
      <c r="E52" s="51" t="n">
        <f aca="false">CONDUTORES!G26</f>
        <v>0</v>
      </c>
      <c r="F52" s="1" t="str">
        <f aca="true">IFERROR(IF(ISNUMBER(E52),E52-TODAY(),DATE(VALUE(RIGHT(E52,4)),VALUE(MID(E52,4,2)),VALUE(LEFT(E52,2)))-TODAY()),"—")</f>
        <v>—</v>
      </c>
      <c r="G52" s="1" t="n">
        <f aca="true">IF(D52="TEM PERFIL",IFERROR(IF(ISNUMBER(E52),E52-TODAY(),DATE(VALUE(RIGHT(E52,4)),VALUE(MID(E52,4,2)),VALUE(LEFT(E52,2)))-TODAY())+ROW()/100000,9999999+ROW()/100000),9999999+ROW()/100000)</f>
        <v>9999999.00052</v>
      </c>
    </row>
    <row r="53" customFormat="false" ht="15" hidden="false" customHeight="true" outlineLevel="0" collapsed="false">
      <c r="A53" s="1" t="s">
        <v>304</v>
      </c>
      <c r="B53" s="1" t="str">
        <f aca="false">CONDUTORES!D27</f>
        <v>132.336.917-18</v>
      </c>
      <c r="C53" s="1" t="str">
        <f aca="false">CONDUTORES!E27</f>
        <v>MAICON DOS SANTOS ALVES</v>
      </c>
      <c r="D53" s="1" t="str">
        <f aca="false">CONDUTORES!F27</f>
        <v>TEM PERFIL</v>
      </c>
      <c r="E53" s="51" t="str">
        <f aca="false">CONDUTORES!G27</f>
        <v>12/01/2027</v>
      </c>
      <c r="F53" s="1" t="n">
        <f aca="true">IFERROR(IF(ISNUMBER(E53),E53-TODAY(),DATE(VALUE(RIGHT(E53,4)),VALUE(MID(E53,4,2)),VALUE(LEFT(E53,2)))-TODAY()),"—")</f>
        <v>130</v>
      </c>
      <c r="G53" s="1" t="n">
        <f aca="true">IF(D53="TEM PERFIL",IFERROR(IF(ISNUMBER(E53),E53-TODAY(),DATE(VALUE(RIGHT(E53,4)),VALUE(MID(E53,4,2)),VALUE(LEFT(E53,2)))-TODAY())+ROW()/100000,9999999+ROW()/100000),9999999+ROW()/100000)</f>
        <v>130.00053</v>
      </c>
    </row>
    <row r="54" customFormat="false" ht="15" hidden="false" customHeight="true" outlineLevel="0" collapsed="false">
      <c r="A54" s="1" t="s">
        <v>304</v>
      </c>
      <c r="B54" s="1" t="str">
        <f aca="false">CONDUTORES!D28</f>
        <v>081.555.957-73</v>
      </c>
      <c r="C54" s="1" t="str">
        <f aca="false">CONDUTORES!E28</f>
        <v>MARCELO OLIVEIRA DOS SANTOS</v>
      </c>
      <c r="D54" s="1" t="str">
        <f aca="false">CONDUTORES!F28</f>
        <v>TEM PERFIL</v>
      </c>
      <c r="E54" s="51" t="str">
        <f aca="false">CONDUTORES!G28</f>
        <v>04/04/2027</v>
      </c>
      <c r="F54" s="1" t="n">
        <f aca="true">IFERROR(IF(ISNUMBER(E54),E54-TODAY(),DATE(VALUE(RIGHT(E54,4)),VALUE(MID(E54,4,2)),VALUE(LEFT(E54,2)))-TODAY()),"—")</f>
        <v>212</v>
      </c>
      <c r="G54" s="1" t="n">
        <f aca="true">IF(D54="TEM PERFIL",IFERROR(IF(ISNUMBER(E54),E54-TODAY(),DATE(VALUE(RIGHT(E54,4)),VALUE(MID(E54,4,2)),VALUE(LEFT(E54,2)))-TODAY())+ROW()/100000,9999999+ROW()/100000),9999999+ROW()/100000)</f>
        <v>212.00054</v>
      </c>
    </row>
    <row r="55" customFormat="false" ht="15" hidden="false" customHeight="true" outlineLevel="0" collapsed="false">
      <c r="A55" s="1" t="s">
        <v>304</v>
      </c>
      <c r="B55" s="1" t="str">
        <f aca="false">CONDUTORES!D29</f>
        <v>090.596.477-26</v>
      </c>
      <c r="C55" s="1" t="str">
        <f aca="false">CONDUTORES!E29</f>
        <v>MARCIO EDUARDO DE LIMA ALVES</v>
      </c>
      <c r="D55" s="1" t="str">
        <f aca="false">CONDUTORES!F29</f>
        <v>TEM PERFIL</v>
      </c>
      <c r="E55" s="51" t="str">
        <f aca="false">CONDUTORES!G29</f>
        <v>16/12/2026</v>
      </c>
      <c r="F55" s="1" t="n">
        <f aca="true">IFERROR(IF(ISNUMBER(E55),E55-TODAY(),DATE(VALUE(RIGHT(E55,4)),VALUE(MID(E55,4,2)),VALUE(LEFT(E55,2)))-TODAY()),"—")</f>
        <v>103</v>
      </c>
      <c r="G55" s="1" t="n">
        <f aca="true">IF(D55="TEM PERFIL",IFERROR(IF(ISNUMBER(E55),E55-TODAY(),DATE(VALUE(RIGHT(E55,4)),VALUE(MID(E55,4,2)),VALUE(LEFT(E55,2)))-TODAY())+ROW()/100000,9999999+ROW()/100000),9999999+ROW()/100000)</f>
        <v>103.00055</v>
      </c>
    </row>
    <row r="56" customFormat="false" ht="15" hidden="false" customHeight="true" outlineLevel="0" collapsed="false">
      <c r="A56" s="1" t="s">
        <v>304</v>
      </c>
      <c r="B56" s="1" t="str">
        <f aca="false">CONDUTORES!D30</f>
        <v>165.535.527-97</v>
      </c>
      <c r="C56" s="1" t="str">
        <f aca="false">CONDUTORES!E30</f>
        <v>MIKE MENDES DOS SANTOS RODRIGUES</v>
      </c>
      <c r="D56" s="1" t="str">
        <f aca="false">CONDUTORES!F30</f>
        <v>TEM PERFIL</v>
      </c>
      <c r="E56" s="51" t="str">
        <f aca="false">CONDUTORES!G30</f>
        <v>05/01/2027</v>
      </c>
      <c r="F56" s="1" t="n">
        <f aca="true">IFERROR(IF(ISNUMBER(E56),E56-TODAY(),DATE(VALUE(RIGHT(E56,4)),VALUE(MID(E56,4,2)),VALUE(LEFT(E56,2)))-TODAY()),"—")</f>
        <v>123</v>
      </c>
      <c r="G56" s="1" t="n">
        <f aca="true">IF(D56="TEM PERFIL",IFERROR(IF(ISNUMBER(E56),E56-TODAY(),DATE(VALUE(RIGHT(E56,4)),VALUE(MID(E56,4,2)),VALUE(LEFT(E56,2)))-TODAY())+ROW()/100000,9999999+ROW()/100000),9999999+ROW()/100000)</f>
        <v>123.00056</v>
      </c>
    </row>
    <row r="57" customFormat="false" ht="15" hidden="false" customHeight="true" outlineLevel="0" collapsed="false">
      <c r="A57" s="1" t="s">
        <v>304</v>
      </c>
      <c r="B57" s="1" t="str">
        <f aca="false">CONDUTORES!D31</f>
        <v>874.774.401-49</v>
      </c>
      <c r="C57" s="1" t="str">
        <f aca="false">CONDUTORES!E31</f>
        <v>OSCAR JOSE RODRIGUES FERREIRA</v>
      </c>
      <c r="D57" s="1" t="str">
        <f aca="false">CONDUTORES!F31</f>
        <v>TEM PERFIL</v>
      </c>
      <c r="E57" s="51" t="str">
        <f aca="false">CONDUTORES!G31</f>
        <v>12/01/2027</v>
      </c>
      <c r="F57" s="1" t="n">
        <f aca="true">IFERROR(IF(ISNUMBER(E57),E57-TODAY(),DATE(VALUE(RIGHT(E57,4)),VALUE(MID(E57,4,2)),VALUE(LEFT(E57,2)))-TODAY()),"—")</f>
        <v>130</v>
      </c>
      <c r="G57" s="1" t="n">
        <f aca="true">IF(D57="TEM PERFIL",IFERROR(IF(ISNUMBER(E57),E57-TODAY(),DATE(VALUE(RIGHT(E57,4)),VALUE(MID(E57,4,2)),VALUE(LEFT(E57,2)))-TODAY())+ROW()/100000,9999999+ROW()/100000),9999999+ROW()/100000)</f>
        <v>130.00057</v>
      </c>
    </row>
    <row r="58" customFormat="false" ht="15" hidden="false" customHeight="true" outlineLevel="0" collapsed="false">
      <c r="A58" s="1" t="s">
        <v>304</v>
      </c>
      <c r="B58" s="1" t="str">
        <f aca="false">CONDUTORES!D32</f>
        <v>095.223.237-56</v>
      </c>
      <c r="C58" s="1" t="str">
        <f aca="false">CONDUTORES!E32</f>
        <v>PATRICK PASCHOAL PALHANO</v>
      </c>
      <c r="D58" s="1" t="str">
        <f aca="false">CONDUTORES!F32</f>
        <v>NÃO TEM PERFIL</v>
      </c>
      <c r="E58" s="51" t="n">
        <f aca="false">CONDUTORES!G32</f>
        <v>0</v>
      </c>
      <c r="F58" s="1" t="str">
        <f aca="true">IFERROR(IF(ISNUMBER(E58),E58-TODAY(),DATE(VALUE(RIGHT(E58,4)),VALUE(MID(E58,4,2)),VALUE(LEFT(E58,2)))-TODAY()),"—")</f>
        <v>—</v>
      </c>
      <c r="G58" s="1" t="n">
        <f aca="true">IF(D58="TEM PERFIL",IFERROR(IF(ISNUMBER(E58),E58-TODAY(),DATE(VALUE(RIGHT(E58,4)),VALUE(MID(E58,4,2)),VALUE(LEFT(E58,2)))-TODAY())+ROW()/100000,9999999+ROW()/100000),9999999+ROW()/100000)</f>
        <v>9999999.00058</v>
      </c>
    </row>
    <row r="59" customFormat="false" ht="15" hidden="false" customHeight="true" outlineLevel="0" collapsed="false">
      <c r="A59" s="1" t="s">
        <v>304</v>
      </c>
      <c r="B59" s="1" t="str">
        <f aca="false">CONDUTORES!D33</f>
        <v>426.632.288-77</v>
      </c>
      <c r="C59" s="1" t="str">
        <f aca="false">CONDUTORES!E33</f>
        <v>PAULO RICARDO DE OLIVEIRA SILVA</v>
      </c>
      <c r="D59" s="1" t="str">
        <f aca="false">CONDUTORES!F33</f>
        <v>TEM PERFIL</v>
      </c>
      <c r="E59" s="51" t="str">
        <f aca="false">CONDUTORES!G33</f>
        <v>18/08/2027</v>
      </c>
      <c r="F59" s="1" t="n">
        <f aca="true">IFERROR(IF(ISNUMBER(E59),E59-TODAY(),DATE(VALUE(RIGHT(E59,4)),VALUE(MID(E59,4,2)),VALUE(LEFT(E59,2)))-TODAY()),"—")</f>
        <v>348</v>
      </c>
      <c r="G59" s="1" t="n">
        <f aca="true">IF(D59="TEM PERFIL",IFERROR(IF(ISNUMBER(E59),E59-TODAY(),DATE(VALUE(RIGHT(E59,4)),VALUE(MID(E59,4,2)),VALUE(LEFT(E59,2)))-TODAY())+ROW()/100000,9999999+ROW()/100000),9999999+ROW()/100000)</f>
        <v>348.00059</v>
      </c>
    </row>
    <row r="60" customFormat="false" ht="15" hidden="false" customHeight="true" outlineLevel="0" collapsed="false">
      <c r="A60" s="1" t="s">
        <v>304</v>
      </c>
      <c r="B60" s="1" t="str">
        <f aca="false">CONDUTORES!D34</f>
        <v>121.645.977-02</v>
      </c>
      <c r="C60" s="1" t="str">
        <f aca="false">CONDUTORES!E34</f>
        <v>PEDRO SOUZA FILHO</v>
      </c>
      <c r="D60" s="1" t="str">
        <f aca="false">CONDUTORES!F34</f>
        <v>TEM PERFIL</v>
      </c>
      <c r="E60" s="51" t="str">
        <f aca="false">CONDUTORES!G34</f>
        <v>16/12/2026</v>
      </c>
      <c r="F60" s="1" t="n">
        <f aca="true">IFERROR(IF(ISNUMBER(E60),E60-TODAY(),DATE(VALUE(RIGHT(E60,4)),VALUE(MID(E60,4,2)),VALUE(LEFT(E60,2)))-TODAY()),"—")</f>
        <v>103</v>
      </c>
      <c r="G60" s="1" t="n">
        <f aca="true">IF(D60="TEM PERFIL",IFERROR(IF(ISNUMBER(E60),E60-TODAY(),DATE(VALUE(RIGHT(E60,4)),VALUE(MID(E60,4,2)),VALUE(LEFT(E60,2)))-TODAY())+ROW()/100000,9999999+ROW()/100000),9999999+ROW()/100000)</f>
        <v>103.0006</v>
      </c>
    </row>
    <row r="61" customFormat="false" ht="15" hidden="false" customHeight="true" outlineLevel="0" collapsed="false">
      <c r="A61" s="1" t="s">
        <v>304</v>
      </c>
      <c r="B61" s="1" t="str">
        <f aca="false">CONDUTORES!D35</f>
        <v>113.697.736-84</v>
      </c>
      <c r="C61" s="1" t="str">
        <f aca="false">CONDUTORES!E35</f>
        <v>PHILIPPE GERMANO MAGALHAES DE SOUZA</v>
      </c>
      <c r="D61" s="1" t="str">
        <f aca="false">CONDUTORES!F35</f>
        <v>TEM PERFIL</v>
      </c>
      <c r="E61" s="51" t="str">
        <f aca="false">CONDUTORES!G35</f>
        <v>16/12/2026</v>
      </c>
      <c r="F61" s="1" t="n">
        <f aca="true">IFERROR(IF(ISNUMBER(E61),E61-TODAY(),DATE(VALUE(RIGHT(E61,4)),VALUE(MID(E61,4,2)),VALUE(LEFT(E61,2)))-TODAY()),"—")</f>
        <v>103</v>
      </c>
      <c r="G61" s="1" t="n">
        <f aca="true">IF(D61="TEM PERFIL",IFERROR(IF(ISNUMBER(E61),E61-TODAY(),DATE(VALUE(RIGHT(E61,4)),VALUE(MID(E61,4,2)),VALUE(LEFT(E61,2)))-TODAY())+ROW()/100000,9999999+ROW()/100000),9999999+ROW()/100000)</f>
        <v>103.00061</v>
      </c>
    </row>
    <row r="62" customFormat="false" ht="15" hidden="false" customHeight="true" outlineLevel="0" collapsed="false">
      <c r="A62" s="1" t="s">
        <v>304</v>
      </c>
      <c r="B62" s="1" t="str">
        <f aca="false">CONDUTORES!D36</f>
        <v>122.800.057-35</v>
      </c>
      <c r="C62" s="1" t="str">
        <f aca="false">CONDUTORES!E36</f>
        <v>RODNEY DIONIZIO DOS SANTOS MELO</v>
      </c>
      <c r="D62" s="1" t="str">
        <f aca="false">CONDUTORES!F36</f>
        <v>NÃO TEM PERFIL</v>
      </c>
      <c r="E62" s="51" t="n">
        <f aca="false">CONDUTORES!G36</f>
        <v>0</v>
      </c>
      <c r="F62" s="1" t="str">
        <f aca="true">IFERROR(IF(ISNUMBER(E62),E62-TODAY(),DATE(VALUE(RIGHT(E62,4)),VALUE(MID(E62,4,2)),VALUE(LEFT(E62,2)))-TODAY()),"—")</f>
        <v>—</v>
      </c>
      <c r="G62" s="1" t="n">
        <f aca="true">IF(D62="TEM PERFIL",IFERROR(IF(ISNUMBER(E62),E62-TODAY(),DATE(VALUE(RIGHT(E62,4)),VALUE(MID(E62,4,2)),VALUE(LEFT(E62,2)))-TODAY())+ROW()/100000,9999999+ROW()/100000),9999999+ROW()/100000)</f>
        <v>9999999.00062</v>
      </c>
    </row>
    <row r="63" customFormat="false" ht="15" hidden="false" customHeight="true" outlineLevel="0" collapsed="false">
      <c r="A63" s="1" t="s">
        <v>304</v>
      </c>
      <c r="B63" s="1" t="str">
        <f aca="false">CONDUTORES!D37</f>
        <v>075.344.591-33</v>
      </c>
      <c r="C63" s="1" t="str">
        <f aca="false">CONDUTORES!E37</f>
        <v>STANLEY JUNIO LIMA NOVAIS</v>
      </c>
      <c r="D63" s="1" t="str">
        <f aca="false">CONDUTORES!F37</f>
        <v>TEM PERFIL</v>
      </c>
      <c r="E63" s="51" t="str">
        <f aca="false">CONDUTORES!G37</f>
        <v>19/10/2026</v>
      </c>
      <c r="F63" s="1" t="n">
        <f aca="true">IFERROR(IF(ISNUMBER(E63),E63-TODAY(),DATE(VALUE(RIGHT(E63,4)),VALUE(MID(E63,4,2)),VALUE(LEFT(E63,2)))-TODAY()),"—")</f>
        <v>45</v>
      </c>
      <c r="G63" s="1" t="n">
        <f aca="true">IF(D63="TEM PERFIL",IFERROR(IF(ISNUMBER(E63),E63-TODAY(),DATE(VALUE(RIGHT(E63,4)),VALUE(MID(E63,4,2)),VALUE(LEFT(E63,2)))-TODAY())+ROW()/100000,9999999+ROW()/100000),9999999+ROW()/100000)</f>
        <v>45.00063</v>
      </c>
    </row>
    <row r="64" customFormat="false" ht="15" hidden="false" customHeight="true" outlineLevel="0" collapsed="false">
      <c r="A64" s="1" t="s">
        <v>304</v>
      </c>
      <c r="B64" s="1" t="str">
        <f aca="false">CONDUTORES!D38</f>
        <v>124.824.897-09</v>
      </c>
      <c r="C64" s="1" t="str">
        <f aca="false">CONDUTORES!E38</f>
        <v>THIAGO CESAR DA SILVA SOARES</v>
      </c>
      <c r="D64" s="1" t="str">
        <f aca="false">CONDUTORES!F38</f>
        <v>TEM PERFIL</v>
      </c>
      <c r="E64" s="51" t="str">
        <f aca="false">CONDUTORES!G38</f>
        <v>17/02/2027</v>
      </c>
      <c r="F64" s="1" t="n">
        <f aca="true">IFERROR(IF(ISNUMBER(E64),E64-TODAY(),DATE(VALUE(RIGHT(E64,4)),VALUE(MID(E64,4,2)),VALUE(LEFT(E64,2)))-TODAY()),"—")</f>
        <v>166</v>
      </c>
      <c r="G64" s="1" t="n">
        <f aca="true">IF(D64="TEM PERFIL",IFERROR(IF(ISNUMBER(E64),E64-TODAY(),DATE(VALUE(RIGHT(E64,4)),VALUE(MID(E64,4,2)),VALUE(LEFT(E64,2)))-TODAY())+ROW()/100000,9999999+ROW()/100000),9999999+ROW()/100000)</f>
        <v>166.00064</v>
      </c>
    </row>
    <row r="65" customFormat="false" ht="15" hidden="false" customHeight="true" outlineLevel="0" collapsed="false">
      <c r="A65" s="1" t="s">
        <v>304</v>
      </c>
      <c r="B65" s="1" t="str">
        <f aca="false">CONDUTORES!D39</f>
        <v>034.192.451-22</v>
      </c>
      <c r="C65" s="1" t="str">
        <f aca="false">CONDUTORES!E39</f>
        <v>THIAGO HERCULANO DE CARVALHO MAGALHAES</v>
      </c>
      <c r="D65" s="1" t="str">
        <f aca="false">CONDUTORES!F39</f>
        <v>TEM PERFIL</v>
      </c>
      <c r="E65" s="51" t="str">
        <f aca="false">CONDUTORES!G39</f>
        <v>10/09/2026</v>
      </c>
      <c r="F65" s="1" t="n">
        <f aca="true">IFERROR(IF(ISNUMBER(E65),E65-TODAY(),DATE(VALUE(RIGHT(E65,4)),VALUE(MID(E65,4,2)),VALUE(LEFT(E65,2)))-TODAY()),"—")</f>
        <v>6</v>
      </c>
      <c r="G65" s="1" t="n">
        <f aca="true">IF(D65="TEM PERFIL",IFERROR(IF(ISNUMBER(E65),E65-TODAY(),DATE(VALUE(RIGHT(E65,4)),VALUE(MID(E65,4,2)),VALUE(LEFT(E65,2)))-TODAY())+ROW()/100000,9999999+ROW()/100000),9999999+ROW()/100000)</f>
        <v>6.00065</v>
      </c>
    </row>
    <row r="66" customFormat="false" ht="15" hidden="false" customHeight="true" outlineLevel="0" collapsed="false">
      <c r="A66" s="1" t="s">
        <v>304</v>
      </c>
      <c r="B66" s="1" t="str">
        <f aca="false">CONDUTORES!D40</f>
        <v>012.574.661-00</v>
      </c>
      <c r="C66" s="1" t="str">
        <f aca="false">CONDUTORES!E40</f>
        <v>UDIRLEI BATISTA COSTA</v>
      </c>
      <c r="D66" s="1" t="str">
        <f aca="false">CONDUTORES!F40</f>
        <v>NÃO TEM PERFIL</v>
      </c>
      <c r="E66" s="51" t="n">
        <f aca="false">CONDUTORES!G40</f>
        <v>0</v>
      </c>
      <c r="F66" s="1" t="str">
        <f aca="true">IFERROR(IF(ISNUMBER(E66),E66-TODAY(),DATE(VALUE(RIGHT(E66,4)),VALUE(MID(E66,4,2)),VALUE(LEFT(E66,2)))-TODAY()),"—")</f>
        <v>—</v>
      </c>
      <c r="G66" s="1" t="n">
        <f aca="true">IF(D66="TEM PERFIL",IFERROR(IF(ISNUMBER(E66),E66-TODAY(),DATE(VALUE(RIGHT(E66,4)),VALUE(MID(E66,4,2)),VALUE(LEFT(E66,2)))-TODAY())+ROW()/100000,9999999+ROW()/100000),9999999+ROW()/100000)</f>
        <v>9999999.00066</v>
      </c>
    </row>
    <row r="67" customFormat="false" ht="15" hidden="false" customHeight="true" outlineLevel="0" collapsed="false">
      <c r="A67" s="1" t="s">
        <v>304</v>
      </c>
      <c r="B67" s="1" t="str">
        <f aca="false">CONDUTORES!D41</f>
        <v>057.369.074-02</v>
      </c>
      <c r="C67" s="1" t="str">
        <f aca="false">CONDUTORES!E41</f>
        <v>VALDO SANTOS DA SILVA</v>
      </c>
      <c r="D67" s="1" t="str">
        <f aca="false">CONDUTORES!F41</f>
        <v>TEM PERFIL</v>
      </c>
      <c r="E67" s="51" t="str">
        <f aca="false">CONDUTORES!G41</f>
        <v>29/07/2026</v>
      </c>
      <c r="F67" s="1" t="n">
        <f aca="true">IFERROR(IF(ISNUMBER(E67),E67-TODAY(),DATE(VALUE(RIGHT(E67,4)),VALUE(MID(E67,4,2)),VALUE(LEFT(E67,2)))-TODAY()),"—")</f>
        <v>-37</v>
      </c>
      <c r="G67" s="1" t="n">
        <f aca="true">IF(D67="TEM PERFIL",IFERROR(IF(ISNUMBER(E67),E67-TODAY(),DATE(VALUE(RIGHT(E67,4)),VALUE(MID(E67,4,2)),VALUE(LEFT(E67,2)))-TODAY())+ROW()/100000,9999999+ROW()/100000),9999999+ROW()/100000)</f>
        <v>-36.99933</v>
      </c>
    </row>
    <row r="68" customFormat="false" ht="15" hidden="false" customHeight="true" outlineLevel="0" collapsed="false">
      <c r="A68" s="1" t="s">
        <v>304</v>
      </c>
      <c r="B68" s="1" t="str">
        <f aca="false">CONDUTORES!D42</f>
        <v>053.560.187-54</v>
      </c>
      <c r="C68" s="1" t="str">
        <f aca="false">CONDUTORES!E42</f>
        <v>WAGNER VAZ DA SILVA</v>
      </c>
      <c r="D68" s="1" t="str">
        <f aca="false">CONDUTORES!F42</f>
        <v>NÃO TEM PERFIL</v>
      </c>
      <c r="E68" s="51" t="n">
        <f aca="false">CONDUTORES!G42</f>
        <v>0</v>
      </c>
      <c r="F68" s="1" t="str">
        <f aca="true">IFERROR(IF(ISNUMBER(E68),E68-TODAY(),DATE(VALUE(RIGHT(E68,4)),VALUE(MID(E68,4,2)),VALUE(LEFT(E68,2)))-TODAY()),"—")</f>
        <v>—</v>
      </c>
      <c r="G68" s="1" t="n">
        <f aca="true">IF(D68="TEM PERFIL",IFERROR(IF(ISNUMBER(E68),E68-TODAY(),DATE(VALUE(RIGHT(E68,4)),VALUE(MID(E68,4,2)),VALUE(LEFT(E68,2)))-TODAY())+ROW()/100000,9999999+ROW()/100000),9999999+ROW()/100000)</f>
        <v>9999999.00068</v>
      </c>
    </row>
    <row r="69" customFormat="false" ht="15" hidden="false" customHeight="true" outlineLevel="0" collapsed="false">
      <c r="A69" s="1" t="s">
        <v>304</v>
      </c>
      <c r="B69" s="1" t="str">
        <f aca="false">CONDUTORES!D43</f>
        <v>412.668.868-42</v>
      </c>
      <c r="C69" s="1" t="str">
        <f aca="false">CONDUTORES!E43</f>
        <v>WALLAS ARAUJO MOTA</v>
      </c>
      <c r="D69" s="1" t="str">
        <f aca="false">CONDUTORES!F43</f>
        <v>TEM PERFIL</v>
      </c>
      <c r="E69" s="51" t="str">
        <f aca="false">CONDUTORES!G43</f>
        <v>19/10/2026</v>
      </c>
      <c r="F69" s="1" t="n">
        <f aca="true">IFERROR(IF(ISNUMBER(E69),E69-TODAY(),DATE(VALUE(RIGHT(E69,4)),VALUE(MID(E69,4,2)),VALUE(LEFT(E69,2)))-TODAY()),"—")</f>
        <v>45</v>
      </c>
      <c r="G69" s="1" t="n">
        <f aca="true">IF(D69="TEM PERFIL",IFERROR(IF(ISNUMBER(E69),E69-TODAY(),DATE(VALUE(RIGHT(E69,4)),VALUE(MID(E69,4,2)),VALUE(LEFT(E69,2)))-TODAY())+ROW()/100000,9999999+ROW()/100000),9999999+ROW()/100000)</f>
        <v>45.00069</v>
      </c>
    </row>
    <row r="70" customFormat="false" ht="15" hidden="false" customHeight="true" outlineLevel="0" collapsed="false">
      <c r="A70" s="1" t="s">
        <v>304</v>
      </c>
      <c r="B70" s="1" t="str">
        <f aca="false">CONDUTORES!D44</f>
        <v>219.136.658-95</v>
      </c>
      <c r="C70" s="1" t="str">
        <f aca="false">CONDUTORES!E44</f>
        <v>WESLEY BARTUCCIOTTO RODRIGUES</v>
      </c>
      <c r="D70" s="1" t="str">
        <f aca="false">CONDUTORES!F44</f>
        <v>TEM PERFIL</v>
      </c>
      <c r="E70" s="51" t="str">
        <f aca="false">CONDUTORES!G44</f>
        <v>26/02/2027</v>
      </c>
      <c r="F70" s="1" t="n">
        <f aca="true">IFERROR(IF(ISNUMBER(E70),E70-TODAY(),DATE(VALUE(RIGHT(E70,4)),VALUE(MID(E70,4,2)),VALUE(LEFT(E70,2)))-TODAY()),"—")</f>
        <v>175</v>
      </c>
      <c r="G70" s="1" t="n">
        <f aca="true">IF(D70="TEM PERFIL",IFERROR(IF(ISNUMBER(E70),E70-TODAY(),DATE(VALUE(RIGHT(E70,4)),VALUE(MID(E70,4,2)),VALUE(LEFT(E70,2)))-TODAY())+ROW()/100000,9999999+ROW()/100000),9999999+ROW()/100000)</f>
        <v>175.0007</v>
      </c>
    </row>
    <row r="71" customFormat="false" ht="15" hidden="false" customHeight="true" outlineLevel="0" collapsed="false">
      <c r="A71" s="1" t="s">
        <v>304</v>
      </c>
      <c r="B71" s="1" t="str">
        <f aca="false">CONDUTORES!D45</f>
        <v>112.132.176-36</v>
      </c>
      <c r="C71" s="1" t="str">
        <f aca="false">CONDUTORES!E45</f>
        <v>WILSON BRUNO ALVES SOUZA</v>
      </c>
      <c r="D71" s="1" t="str">
        <f aca="false">CONDUTORES!F45</f>
        <v>DOCUMENTO VENCIDO</v>
      </c>
      <c r="E71" s="51" t="n">
        <f aca="false">CONDUTORES!G45</f>
        <v>0</v>
      </c>
      <c r="F71" s="1" t="str">
        <f aca="true">IFERROR(IF(ISNUMBER(E71),E71-TODAY(),DATE(VALUE(RIGHT(E71,4)),VALUE(MID(E71,4,2)),VALUE(LEFT(E71,2)))-TODAY()),"—")</f>
        <v>—</v>
      </c>
      <c r="G71" s="1" t="n">
        <f aca="true">IF(D71="TEM PERFIL",IFERROR(IF(ISNUMBER(E71),E71-TODAY(),DATE(VALUE(RIGHT(E71,4)),VALUE(MID(E71,4,2)),VALUE(LEFT(E71,2)))-TODAY())+ROW()/100000,9999999+ROW()/100000),9999999+ROW()/100000)</f>
        <v>9999999.00071</v>
      </c>
    </row>
    <row r="72" customFormat="false" ht="15" hidden="false" customHeight="true" outlineLevel="0" collapsed="false">
      <c r="A72" s="1" t="s">
        <v>304</v>
      </c>
      <c r="B72" s="1" t="str">
        <f aca="false">CONDUTORES!D46</f>
        <v>126.196.917-02</v>
      </c>
      <c r="C72" s="1" t="str">
        <f aca="false">CONDUTORES!E46</f>
        <v>ADILSON DA SILVA MEIRELLES JUNIOR</v>
      </c>
      <c r="D72" s="1" t="str">
        <f aca="false">CONDUTORES!F46</f>
        <v>TEM PERFIL</v>
      </c>
      <c r="E72" s="51" t="str">
        <f aca="false">CONDUTORES!G46</f>
        <v>13/01/2027</v>
      </c>
      <c r="F72" s="1" t="n">
        <f aca="true">IFERROR(IF(ISNUMBER(E72),E72-TODAY(),DATE(VALUE(RIGHT(E72,4)),VALUE(MID(E72,4,2)),VALUE(LEFT(E72,2)))-TODAY()),"—")</f>
        <v>131</v>
      </c>
      <c r="G72" s="1" t="n">
        <f aca="true">IF(D72="TEM PERFIL",IFERROR(IF(ISNUMBER(E72),E72-TODAY(),DATE(VALUE(RIGHT(E72,4)),VALUE(MID(E72,4,2)),VALUE(LEFT(E72,2)))-TODAY())+ROW()/100000,9999999+ROW()/100000),9999999+ROW()/100000)</f>
        <v>131.00072</v>
      </c>
    </row>
    <row r="73" customFormat="false" ht="15" hidden="false" customHeight="true" outlineLevel="0" collapsed="false">
      <c r="A73" s="1" t="s">
        <v>304</v>
      </c>
      <c r="B73" s="1" t="str">
        <f aca="false">CONDUTORES!D47</f>
        <v>112.801.137-90</v>
      </c>
      <c r="C73" s="1" t="str">
        <f aca="false">CONDUTORES!E47</f>
        <v>EVANERIO FONTES LUZ</v>
      </c>
      <c r="D73" s="1" t="str">
        <f aca="false">CONDUTORES!F47</f>
        <v>TEM PERFIL</v>
      </c>
      <c r="E73" s="51" t="str">
        <f aca="false">CONDUTORES!G47</f>
        <v>28/01/2027</v>
      </c>
      <c r="F73" s="1" t="n">
        <f aca="true">IFERROR(IF(ISNUMBER(E73),E73-TODAY(),DATE(VALUE(RIGHT(E73,4)),VALUE(MID(E73,4,2)),VALUE(LEFT(E73,2)))-TODAY()),"—")</f>
        <v>146</v>
      </c>
      <c r="G73" s="1" t="n">
        <f aca="true">IF(D73="TEM PERFIL",IFERROR(IF(ISNUMBER(E73),E73-TODAY(),DATE(VALUE(RIGHT(E73,4)),VALUE(MID(E73,4,2)),VALUE(LEFT(E73,2)))-TODAY())+ROW()/100000,9999999+ROW()/100000),9999999+ROW()/100000)</f>
        <v>146.00073</v>
      </c>
    </row>
    <row r="74" customFormat="false" ht="15" hidden="false" customHeight="true" outlineLevel="0" collapsed="false">
      <c r="A74" s="1" t="s">
        <v>304</v>
      </c>
      <c r="B74" s="1" t="str">
        <f aca="false">CONDUTORES!D48</f>
        <v>925.958.121-49</v>
      </c>
      <c r="C74" s="1" t="str">
        <f aca="false">CONDUTORES!E48</f>
        <v>MARCOS PAULO CARVALHO DE OLIVEIRA</v>
      </c>
      <c r="D74" s="1" t="str">
        <f aca="false">CONDUTORES!F48</f>
        <v>TEM PERFIL</v>
      </c>
      <c r="E74" s="51" t="str">
        <f aca="false">CONDUTORES!G48</f>
        <v>13/01/2027</v>
      </c>
      <c r="F74" s="1" t="n">
        <f aca="true">IFERROR(IF(ISNUMBER(E74),E74-TODAY(),DATE(VALUE(RIGHT(E74,4)),VALUE(MID(E74,4,2)),VALUE(LEFT(E74,2)))-TODAY()),"—")</f>
        <v>131</v>
      </c>
      <c r="G74" s="1" t="n">
        <f aca="true">IF(D74="TEM PERFIL",IFERROR(IF(ISNUMBER(E74),E74-TODAY(),DATE(VALUE(RIGHT(E74,4)),VALUE(MID(E74,4,2)),VALUE(LEFT(E74,2)))-TODAY())+ROW()/100000,9999999+ROW()/100000),9999999+ROW()/100000)</f>
        <v>131.00074</v>
      </c>
    </row>
    <row r="75" customFormat="false" ht="15" hidden="false" customHeight="true" outlineLevel="0" collapsed="false">
      <c r="A75" s="1" t="s">
        <v>304</v>
      </c>
      <c r="B75" s="1" t="str">
        <f aca="false">CONDUTORES!D49</f>
        <v>083.963.717-92</v>
      </c>
      <c r="C75" s="1" t="str">
        <f aca="false">CONDUTORES!E49</f>
        <v>MARCIO ANTONIO DA SILVA</v>
      </c>
      <c r="D75" s="1" t="str">
        <f aca="false">CONDUTORES!F49</f>
        <v>TEM PERFIL</v>
      </c>
      <c r="E75" s="51" t="str">
        <f aca="false">CONDUTORES!G49</f>
        <v>13/01/2027</v>
      </c>
      <c r="F75" s="1" t="n">
        <f aca="true">IFERROR(IF(ISNUMBER(E75),E75-TODAY(),DATE(VALUE(RIGHT(E75,4)),VALUE(MID(E75,4,2)),VALUE(LEFT(E75,2)))-TODAY()),"—")</f>
        <v>131</v>
      </c>
      <c r="G75" s="1" t="n">
        <f aca="true">IF(D75="TEM PERFIL",IFERROR(IF(ISNUMBER(E75),E75-TODAY(),DATE(VALUE(RIGHT(E75,4)),VALUE(MID(E75,4,2)),VALUE(LEFT(E75,2)))-TODAY())+ROW()/100000,9999999+ROW()/100000),9999999+ROW()/100000)</f>
        <v>131.00075</v>
      </c>
    </row>
    <row r="76" customFormat="false" ht="15" hidden="false" customHeight="true" outlineLevel="0" collapsed="false">
      <c r="A76" s="1" t="s">
        <v>304</v>
      </c>
      <c r="B76" s="1" t="str">
        <f aca="false">CONDUTORES!D50</f>
        <v>147.342.847-50</v>
      </c>
      <c r="C76" s="1" t="str">
        <f aca="false">CONDUTORES!E50</f>
        <v>RAPHAEL MACHADO DA SILVA</v>
      </c>
      <c r="D76" s="1" t="str">
        <f aca="false">CONDUTORES!F50</f>
        <v>TEM PERFIL</v>
      </c>
      <c r="E76" s="51" t="str">
        <f aca="false">CONDUTORES!G50</f>
        <v>13/01/2027</v>
      </c>
      <c r="F76" s="1" t="n">
        <f aca="true">IFERROR(IF(ISNUMBER(E76),E76-TODAY(),DATE(VALUE(RIGHT(E76,4)),VALUE(MID(E76,4,2)),VALUE(LEFT(E76,2)))-TODAY()),"—")</f>
        <v>131</v>
      </c>
      <c r="G76" s="1" t="n">
        <f aca="true">IF(D76="TEM PERFIL",IFERROR(IF(ISNUMBER(E76),E76-TODAY(),DATE(VALUE(RIGHT(E76,4)),VALUE(MID(E76,4,2)),VALUE(LEFT(E76,2)))-TODAY())+ROW()/100000,9999999+ROW()/100000),9999999+ROW()/100000)</f>
        <v>131.00076</v>
      </c>
    </row>
    <row r="77" customFormat="false" ht="15" hidden="false" customHeight="true" outlineLevel="0" collapsed="false">
      <c r="A77" s="1" t="s">
        <v>304</v>
      </c>
      <c r="B77" s="1" t="str">
        <f aca="false">CONDUTORES!D51</f>
        <v>579.650.301-44</v>
      </c>
      <c r="C77" s="1" t="str">
        <f aca="false">CONDUTORES!E51</f>
        <v>LUIS CARLOS NOUSO</v>
      </c>
      <c r="D77" s="1" t="str">
        <f aca="false">CONDUTORES!F51</f>
        <v>TEM PERFIL</v>
      </c>
      <c r="E77" s="51" t="str">
        <f aca="false">CONDUTORES!G51</f>
        <v>09/01/2027</v>
      </c>
      <c r="F77" s="1" t="n">
        <f aca="true">IFERROR(IF(ISNUMBER(E77),E77-TODAY(),DATE(VALUE(RIGHT(E77,4)),VALUE(MID(E77,4,2)),VALUE(LEFT(E77,2)))-TODAY()),"—")</f>
        <v>127</v>
      </c>
      <c r="G77" s="1" t="n">
        <f aca="true">IF(D77="TEM PERFIL",IFERROR(IF(ISNUMBER(E77),E77-TODAY(),DATE(VALUE(RIGHT(E77,4)),VALUE(MID(E77,4,2)),VALUE(LEFT(E77,2)))-TODAY())+ROW()/100000,9999999+ROW()/100000),9999999+ROW()/100000)</f>
        <v>127.00077</v>
      </c>
    </row>
    <row r="78" customFormat="false" ht="15" hidden="false" customHeight="true" outlineLevel="0" collapsed="false">
      <c r="A78" s="1" t="s">
        <v>304</v>
      </c>
      <c r="B78" s="1" t="str">
        <f aca="false">CONDUTORES!D52</f>
        <v>067.255.141-11</v>
      </c>
      <c r="C78" s="1" t="str">
        <f aca="false">CONDUTORES!E52</f>
        <v>ANDERSON DA CONCEIÇAO SIQUEIRA</v>
      </c>
      <c r="D78" s="1" t="str">
        <f aca="false">CONDUTORES!F52</f>
        <v>TEM PERFIL</v>
      </c>
      <c r="E78" s="51" t="str">
        <f aca="false">CONDUTORES!G52</f>
        <v>09/01/2027</v>
      </c>
      <c r="F78" s="1" t="n">
        <f aca="true">IFERROR(IF(ISNUMBER(E78),E78-TODAY(),DATE(VALUE(RIGHT(E78,4)),VALUE(MID(E78,4,2)),VALUE(LEFT(E78,2)))-TODAY()),"—")</f>
        <v>127</v>
      </c>
      <c r="G78" s="1" t="n">
        <f aca="true">IF(D78="TEM PERFIL",IFERROR(IF(ISNUMBER(E78),E78-TODAY(),DATE(VALUE(RIGHT(E78,4)),VALUE(MID(E78,4,2)),VALUE(LEFT(E78,2)))-TODAY())+ROW()/100000,9999999+ROW()/100000),9999999+ROW()/100000)</f>
        <v>127.00078</v>
      </c>
    </row>
    <row r="79" customFormat="false" ht="15" hidden="false" customHeight="true" outlineLevel="0" collapsed="false">
      <c r="A79" s="1" t="s">
        <v>304</v>
      </c>
      <c r="B79" s="1" t="str">
        <f aca="false">CONDUTORES!D53</f>
        <v>153.169.647-30</v>
      </c>
      <c r="C79" s="1" t="str">
        <f aca="false">CONDUTORES!E53</f>
        <v>MARLLON BRANDON AZEVEDO</v>
      </c>
      <c r="D79" s="1" t="str">
        <f aca="false">CONDUTORES!F53</f>
        <v>TEM PERFIL</v>
      </c>
      <c r="E79" s="51" t="n">
        <f aca="false">CONDUTORES!G53</f>
        <v>46393</v>
      </c>
      <c r="F79" s="1" t="n">
        <f aca="true">IFERROR(IF(ISNUMBER(E79),E79-TODAY(),DATE(VALUE(RIGHT(E79,4)),VALUE(MID(E79,4,2)),VALUE(LEFT(E79,2)))-TODAY()),"—")</f>
        <v>124</v>
      </c>
      <c r="G79" s="1" t="n">
        <f aca="true">IF(D79="TEM PERFIL",IFERROR(IF(ISNUMBER(E79),E79-TODAY(),DATE(VALUE(RIGHT(E79,4)),VALUE(MID(E79,4,2)),VALUE(LEFT(E79,2)))-TODAY())+ROW()/100000,9999999+ROW()/100000),9999999+ROW()/100000)</f>
        <v>124.00079</v>
      </c>
    </row>
    <row r="80" customFormat="false" ht="15" hidden="false" customHeight="true" outlineLevel="0" collapsed="false">
      <c r="A80" s="1" t="s">
        <v>304</v>
      </c>
      <c r="B80" s="1" t="str">
        <f aca="false">CONDUTORES!D54</f>
        <v>093.336.627-23</v>
      </c>
      <c r="C80" s="1" t="str">
        <f aca="false">CONDUTORES!E54</f>
        <v>TIAGO DA SILVA SALGADO</v>
      </c>
      <c r="D80" s="1" t="str">
        <f aca="false">CONDUTORES!F54</f>
        <v>TEM PERFIL</v>
      </c>
      <c r="E80" s="51" t="str">
        <f aca="false">CONDUTORES!G54</f>
        <v>13/01/2027</v>
      </c>
      <c r="F80" s="1" t="n">
        <f aca="true">IFERROR(IF(ISNUMBER(E80),E80-TODAY(),DATE(VALUE(RIGHT(E80,4)),VALUE(MID(E80,4,2)),VALUE(LEFT(E80,2)))-TODAY()),"—")</f>
        <v>131</v>
      </c>
      <c r="G80" s="1" t="n">
        <f aca="true">IF(D80="TEM PERFIL",IFERROR(IF(ISNUMBER(E80),E80-TODAY(),DATE(VALUE(RIGHT(E80,4)),VALUE(MID(E80,4,2)),VALUE(LEFT(E80,2)))-TODAY())+ROW()/100000,9999999+ROW()/100000),9999999+ROW()/100000)</f>
        <v>131.0008</v>
      </c>
    </row>
    <row r="81" customFormat="false" ht="15" hidden="false" customHeight="true" outlineLevel="0" collapsed="false">
      <c r="A81" s="1" t="s">
        <v>304</v>
      </c>
      <c r="B81" s="1" t="str">
        <f aca="false">CONDUTORES!D55</f>
        <v>189.077.897-46</v>
      </c>
      <c r="C81" s="1" t="str">
        <f aca="false">CONDUTORES!E55</f>
        <v>LUCAS RANGEL SAMUEL</v>
      </c>
      <c r="D81" s="1" t="str">
        <f aca="false">CONDUTORES!F55</f>
        <v>TEM PERFIL</v>
      </c>
      <c r="E81" s="51" t="str">
        <f aca="false">CONDUTORES!G55</f>
        <v>13/01/2027</v>
      </c>
      <c r="F81" s="1" t="n">
        <f aca="true">IFERROR(IF(ISNUMBER(E81),E81-TODAY(),DATE(VALUE(RIGHT(E81,4)),VALUE(MID(E81,4,2)),VALUE(LEFT(E81,2)))-TODAY()),"—")</f>
        <v>131</v>
      </c>
      <c r="G81" s="1" t="n">
        <f aca="true">IF(D81="TEM PERFIL",IFERROR(IF(ISNUMBER(E81),E81-TODAY(),DATE(VALUE(RIGHT(E81,4)),VALUE(MID(E81,4,2)),VALUE(LEFT(E81,2)))-TODAY())+ROW()/100000,9999999+ROW()/100000),9999999+ROW()/100000)</f>
        <v>131.00081</v>
      </c>
    </row>
    <row r="82" customFormat="false" ht="15" hidden="false" customHeight="true" outlineLevel="0" collapsed="false">
      <c r="A82" s="1" t="s">
        <v>304</v>
      </c>
      <c r="B82" s="1" t="str">
        <f aca="false">CONDUTORES!D56</f>
        <v>055.608.236-27</v>
      </c>
      <c r="C82" s="1" t="str">
        <f aca="false">CONDUTORES!E56</f>
        <v>ELMIRO GALDINO DE MELLO</v>
      </c>
      <c r="D82" s="1" t="str">
        <f aca="false">CONDUTORES!F56</f>
        <v>NÃO TEM PERFIL</v>
      </c>
      <c r="E82" s="51" t="n">
        <f aca="false">CONDUTORES!G56</f>
        <v>0</v>
      </c>
      <c r="F82" s="1" t="str">
        <f aca="true">IFERROR(IF(ISNUMBER(E82),E82-TODAY(),DATE(VALUE(RIGHT(E82,4)),VALUE(MID(E82,4,2)),VALUE(LEFT(E82,2)))-TODAY()),"—")</f>
        <v>—</v>
      </c>
      <c r="G82" s="1" t="n">
        <f aca="true">IF(D82="TEM PERFIL",IFERROR(IF(ISNUMBER(E82),E82-TODAY(),DATE(VALUE(RIGHT(E82,4)),VALUE(MID(E82,4,2)),VALUE(LEFT(E82,2)))-TODAY())+ROW()/100000,9999999+ROW()/100000),9999999+ROW()/100000)</f>
        <v>9999999.00082</v>
      </c>
    </row>
    <row r="83" customFormat="false" ht="15" hidden="false" customHeight="true" outlineLevel="0" collapsed="false">
      <c r="A83" s="1" t="s">
        <v>304</v>
      </c>
      <c r="B83" s="1" t="str">
        <f aca="false">CONDUTORES!D57</f>
        <v>051.837.027-56</v>
      </c>
      <c r="C83" s="1" t="str">
        <f aca="false">CONDUTORES!E57</f>
        <v>EVANILDO MANOEL DE FARIAS</v>
      </c>
      <c r="D83" s="1" t="str">
        <f aca="false">CONDUTORES!F57</f>
        <v>TEM PERFIL</v>
      </c>
      <c r="E83" s="51" t="str">
        <f aca="false">CONDUTORES!G57</f>
        <v>28/01/2027</v>
      </c>
      <c r="F83" s="1" t="n">
        <f aca="true">IFERROR(IF(ISNUMBER(E83),E83-TODAY(),DATE(VALUE(RIGHT(E83,4)),VALUE(MID(E83,4,2)),VALUE(LEFT(E83,2)))-TODAY()),"—")</f>
        <v>146</v>
      </c>
      <c r="G83" s="1" t="n">
        <f aca="true">IF(D83="TEM PERFIL",IFERROR(IF(ISNUMBER(E83),E83-TODAY(),DATE(VALUE(RIGHT(E83,4)),VALUE(MID(E83,4,2)),VALUE(LEFT(E83,2)))-TODAY())+ROW()/100000,9999999+ROW()/100000),9999999+ROW()/100000)</f>
        <v>146.00083</v>
      </c>
    </row>
    <row r="84" customFormat="false" ht="15" hidden="false" customHeight="true" outlineLevel="0" collapsed="false">
      <c r="A84" s="1" t="s">
        <v>304</v>
      </c>
      <c r="B84" s="1" t="str">
        <f aca="false">CONDUTORES!D58</f>
        <v>167.369.307-58</v>
      </c>
      <c r="C84" s="1" t="str">
        <f aca="false">CONDUTORES!E58</f>
        <v>WILLIAN GONCALVES VIEIRA</v>
      </c>
      <c r="D84" s="1" t="str">
        <f aca="false">CONDUTORES!F58</f>
        <v>NÃO TEM PERFIL</v>
      </c>
      <c r="E84" s="51" t="n">
        <f aca="false">CONDUTORES!G58</f>
        <v>0</v>
      </c>
      <c r="F84" s="1" t="str">
        <f aca="true">IFERROR(IF(ISNUMBER(E84),E84-TODAY(),DATE(VALUE(RIGHT(E84,4)),VALUE(MID(E84,4,2)),VALUE(LEFT(E84,2)))-TODAY()),"—")</f>
        <v>—</v>
      </c>
      <c r="G84" s="1" t="n">
        <f aca="true">IF(D84="TEM PERFIL",IFERROR(IF(ISNUMBER(E84),E84-TODAY(),DATE(VALUE(RIGHT(E84,4)),VALUE(MID(E84,4,2)),VALUE(LEFT(E84,2)))-TODAY())+ROW()/100000,9999999+ROW()/100000),9999999+ROW()/100000)</f>
        <v>9999999.00084</v>
      </c>
    </row>
    <row r="85" customFormat="false" ht="15" hidden="false" customHeight="true" outlineLevel="0" collapsed="false">
      <c r="A85" s="1" t="s">
        <v>304</v>
      </c>
      <c r="B85" s="1" t="str">
        <f aca="false">CONDUTORES!D59</f>
        <v>082.558.367-56</v>
      </c>
      <c r="C85" s="1" t="str">
        <f aca="false">CONDUTORES!E59</f>
        <v>ALEX HOMERO DA SILVA</v>
      </c>
      <c r="D85" s="1" t="str">
        <f aca="false">CONDUTORES!F59</f>
        <v>TEM PERFIL</v>
      </c>
      <c r="E85" s="51" t="str">
        <f aca="false">CONDUTORES!G59</f>
        <v>13/01/2027</v>
      </c>
      <c r="F85" s="1" t="n">
        <f aca="true">IFERROR(IF(ISNUMBER(E85),E85-TODAY(),DATE(VALUE(RIGHT(E85,4)),VALUE(MID(E85,4,2)),VALUE(LEFT(E85,2)))-TODAY()),"—")</f>
        <v>131</v>
      </c>
      <c r="G85" s="1" t="n">
        <f aca="true">IF(D85="TEM PERFIL",IFERROR(IF(ISNUMBER(E85),E85-TODAY(),DATE(VALUE(RIGHT(E85,4)),VALUE(MID(E85,4,2)),VALUE(LEFT(E85,2)))-TODAY())+ROW()/100000,9999999+ROW()/100000),9999999+ROW()/100000)</f>
        <v>131.00085</v>
      </c>
    </row>
    <row r="86" customFormat="false" ht="15" hidden="false" customHeight="true" outlineLevel="0" collapsed="false">
      <c r="A86" s="1" t="s">
        <v>304</v>
      </c>
      <c r="B86" s="1" t="str">
        <f aca="false">CONDUTORES!D60</f>
        <v>821.594.087-00</v>
      </c>
      <c r="C86" s="1" t="str">
        <f aca="false">CONDUTORES!E60</f>
        <v>CARLOS HENRIQUE DE OLIVEIRA REIS</v>
      </c>
      <c r="D86" s="1" t="str">
        <f aca="false">CONDUTORES!F60</f>
        <v>TEM PERFIL</v>
      </c>
      <c r="E86" s="51" t="str">
        <f aca="false">CONDUTORES!G60</f>
        <v>09/01/2027</v>
      </c>
      <c r="F86" s="1" t="n">
        <f aca="true">IFERROR(IF(ISNUMBER(E86),E86-TODAY(),DATE(VALUE(RIGHT(E86,4)),VALUE(MID(E86,4,2)),VALUE(LEFT(E86,2)))-TODAY()),"—")</f>
        <v>127</v>
      </c>
      <c r="G86" s="1" t="n">
        <f aca="true">IF(D86="TEM PERFIL",IFERROR(IF(ISNUMBER(E86),E86-TODAY(),DATE(VALUE(RIGHT(E86,4)),VALUE(MID(E86,4,2)),VALUE(LEFT(E86,2)))-TODAY())+ROW()/100000,9999999+ROW()/100000),9999999+ROW()/100000)</f>
        <v>127.00086</v>
      </c>
    </row>
    <row r="87" customFormat="false" ht="15" hidden="false" customHeight="true" outlineLevel="0" collapsed="false">
      <c r="A87" s="1" t="s">
        <v>304</v>
      </c>
      <c r="B87" s="1" t="str">
        <f aca="false">CONDUTORES!D61</f>
        <v>143.501.117-19</v>
      </c>
      <c r="C87" s="1" t="str">
        <f aca="false">CONDUTORES!E61</f>
        <v>FRANKLIN DE AZEVEDO RIBEIRO</v>
      </c>
      <c r="D87" s="1" t="str">
        <f aca="false">CONDUTORES!F61</f>
        <v>TEM PERFIL</v>
      </c>
      <c r="E87" s="51" t="str">
        <f aca="false">CONDUTORES!G61</f>
        <v>15/01/2027</v>
      </c>
      <c r="F87" s="1" t="n">
        <f aca="true">IFERROR(IF(ISNUMBER(E87),E87-TODAY(),DATE(VALUE(RIGHT(E87,4)),VALUE(MID(E87,4,2)),VALUE(LEFT(E87,2)))-TODAY()),"—")</f>
        <v>133</v>
      </c>
      <c r="G87" s="1" t="n">
        <f aca="true">IF(D87="TEM PERFIL",IFERROR(IF(ISNUMBER(E87),E87-TODAY(),DATE(VALUE(RIGHT(E87,4)),VALUE(MID(E87,4,2)),VALUE(LEFT(E87,2)))-TODAY())+ROW()/100000,9999999+ROW()/100000),9999999+ROW()/100000)</f>
        <v>133.00087</v>
      </c>
    </row>
    <row r="88" customFormat="false" ht="15" hidden="false" customHeight="true" outlineLevel="0" collapsed="false">
      <c r="A88" s="1" t="s">
        <v>304</v>
      </c>
      <c r="B88" s="1" t="str">
        <f aca="false">CONDUTORES!D62</f>
        <v>105.661.087-55</v>
      </c>
      <c r="C88" s="1" t="str">
        <f aca="false">CONDUTORES!E62</f>
        <v>JORGE LUIZ SANTOS DA SILVA</v>
      </c>
      <c r="D88" s="1" t="str">
        <f aca="false">CONDUTORES!F62</f>
        <v>AGUARDANDO RETORNO</v>
      </c>
      <c r="E88" s="51" t="n">
        <f aca="false">CONDUTORES!G62</f>
        <v>0</v>
      </c>
      <c r="F88" s="1" t="str">
        <f aca="true">IFERROR(IF(ISNUMBER(E88),E88-TODAY(),DATE(VALUE(RIGHT(E88,4)),VALUE(MID(E88,4,2)),VALUE(LEFT(E88,2)))-TODAY()),"—")</f>
        <v>—</v>
      </c>
      <c r="G88" s="1" t="n">
        <f aca="true">IF(D88="TEM PERFIL",IFERROR(IF(ISNUMBER(E88),E88-TODAY(),DATE(VALUE(RIGHT(E88,4)),VALUE(MID(E88,4,2)),VALUE(LEFT(E88,2)))-TODAY())+ROW()/100000,9999999+ROW()/100000),9999999+ROW()/100000)</f>
        <v>9999999.00088</v>
      </c>
    </row>
    <row r="89" customFormat="false" ht="15" hidden="false" customHeight="true" outlineLevel="0" collapsed="false">
      <c r="A89" s="1" t="s">
        <v>304</v>
      </c>
      <c r="B89" s="1" t="str">
        <f aca="false">CONDUTORES!D63</f>
        <v>039.322.184-93</v>
      </c>
      <c r="C89" s="1" t="str">
        <f aca="false">CONDUTORES!E63</f>
        <v>MANOEL MESSIAS SANTANA DA SILVA</v>
      </c>
      <c r="D89" s="1" t="str">
        <f aca="false">CONDUTORES!F63</f>
        <v>TEM PERFIL</v>
      </c>
      <c r="E89" s="51" t="str">
        <f aca="false">CONDUTORES!G63</f>
        <v>15/01/2027</v>
      </c>
      <c r="F89" s="1" t="n">
        <f aca="true">IFERROR(IF(ISNUMBER(E89),E89-TODAY(),DATE(VALUE(RIGHT(E89,4)),VALUE(MID(E89,4,2)),VALUE(LEFT(E89,2)))-TODAY()),"—")</f>
        <v>133</v>
      </c>
      <c r="G89" s="1" t="n">
        <f aca="true">IF(D89="TEM PERFIL",IFERROR(IF(ISNUMBER(E89),E89-TODAY(),DATE(VALUE(RIGHT(E89,4)),VALUE(MID(E89,4,2)),VALUE(LEFT(E89,2)))-TODAY())+ROW()/100000,9999999+ROW()/100000),9999999+ROW()/100000)</f>
        <v>133.00089</v>
      </c>
    </row>
    <row r="90" customFormat="false" ht="15" hidden="false" customHeight="true" outlineLevel="0" collapsed="false">
      <c r="A90" s="1" t="s">
        <v>304</v>
      </c>
      <c r="B90" s="1" t="str">
        <f aca="false">CONDUTORES!D64</f>
        <v>152.030.206-12</v>
      </c>
      <c r="C90" s="1" t="str">
        <f aca="false">CONDUTORES!E64</f>
        <v>ALEX GUSTAVO ALVES RODRIGUES</v>
      </c>
      <c r="D90" s="1" t="str">
        <f aca="false">CONDUTORES!F64</f>
        <v>DADOS DIVERGENTES</v>
      </c>
      <c r="E90" s="51" t="n">
        <f aca="false">CONDUTORES!G64</f>
        <v>0</v>
      </c>
      <c r="F90" s="1" t="str">
        <f aca="true">IFERROR(IF(ISNUMBER(E90),E90-TODAY(),DATE(VALUE(RIGHT(E90,4)),VALUE(MID(E90,4,2)),VALUE(LEFT(E90,2)))-TODAY()),"—")</f>
        <v>—</v>
      </c>
      <c r="G90" s="1" t="n">
        <f aca="true">IF(D90="TEM PERFIL",IFERROR(IF(ISNUMBER(E90),E90-TODAY(),DATE(VALUE(RIGHT(E90,4)),VALUE(MID(E90,4,2)),VALUE(LEFT(E90,2)))-TODAY())+ROW()/100000,9999999+ROW()/100000),9999999+ROW()/100000)</f>
        <v>9999999.0009</v>
      </c>
    </row>
    <row r="91" customFormat="false" ht="15" hidden="false" customHeight="true" outlineLevel="0" collapsed="false">
      <c r="A91" s="1" t="s">
        <v>304</v>
      </c>
      <c r="B91" s="1" t="str">
        <f aca="false">CONDUTORES!D65</f>
        <v>017.673.336-17</v>
      </c>
      <c r="C91" s="1" t="str">
        <f aca="false">CONDUTORES!E65</f>
        <v>VICTOR GOMES CATTA PRETA</v>
      </c>
      <c r="D91" s="1" t="str">
        <f aca="false">CONDUTORES!F65</f>
        <v>TEM PERFIL</v>
      </c>
      <c r="E91" s="51" t="str">
        <f aca="false">CONDUTORES!G65</f>
        <v>15/01/2027</v>
      </c>
      <c r="F91" s="1" t="n">
        <f aca="true">IFERROR(IF(ISNUMBER(E91),E91-TODAY(),DATE(VALUE(RIGHT(E91,4)),VALUE(MID(E91,4,2)),VALUE(LEFT(E91,2)))-TODAY()),"—")</f>
        <v>133</v>
      </c>
      <c r="G91" s="1" t="n">
        <f aca="true">IF(D91="TEM PERFIL",IFERROR(IF(ISNUMBER(E91),E91-TODAY(),DATE(VALUE(RIGHT(E91,4)),VALUE(MID(E91,4,2)),VALUE(LEFT(E91,2)))-TODAY())+ROW()/100000,9999999+ROW()/100000),9999999+ROW()/100000)</f>
        <v>133.00091</v>
      </c>
    </row>
    <row r="92" customFormat="false" ht="15" hidden="false" customHeight="true" outlineLevel="0" collapsed="false">
      <c r="A92" s="1" t="s">
        <v>304</v>
      </c>
      <c r="B92" s="1" t="str">
        <f aca="false">CONDUTORES!D66</f>
        <v>131.743.227-40</v>
      </c>
      <c r="C92" s="1" t="str">
        <f aca="false">CONDUTORES!E66</f>
        <v>GLEDSON PEREIRA FRANCISCO</v>
      </c>
      <c r="D92" s="1" t="str">
        <f aca="false">CONDUTORES!F66</f>
        <v>TEM PERFIL</v>
      </c>
      <c r="E92" s="1" t="str">
        <f aca="false">CONDUTORES!G66</f>
        <v>14/01/2027</v>
      </c>
      <c r="F92" s="1" t="n">
        <f aca="true">IFERROR(IF(ISNUMBER(E92),E92-TODAY(),DATE(VALUE(RIGHT(E92,4)),VALUE(MID(E92,4,2)),VALUE(LEFT(E92,2)))-TODAY()),"—")</f>
        <v>132</v>
      </c>
      <c r="G92" s="1" t="n">
        <f aca="true">IF(D92="TEM PERFIL",IFERROR(IF(ISNUMBER(E92),E92-TODAY(),DATE(VALUE(RIGHT(E92,4)),VALUE(MID(E92,4,2)),VALUE(LEFT(E92,2)))-TODAY())+ROW()/100000,9999999+ROW()/100000),9999999+ROW()/100000)</f>
        <v>132.00092</v>
      </c>
    </row>
    <row r="93" customFormat="false" ht="15" hidden="false" customHeight="true" outlineLevel="0" collapsed="false">
      <c r="A93" s="1" t="s">
        <v>304</v>
      </c>
      <c r="B93" s="1" t="str">
        <f aca="false">CONDUTORES!D67</f>
        <v>107.340.697-07</v>
      </c>
      <c r="C93" s="1" t="str">
        <f aca="false">CONDUTORES!E67</f>
        <v>AUGUSTO CESAR DA APARECIDA</v>
      </c>
      <c r="D93" s="1" t="str">
        <f aca="false">CONDUTORES!F67</f>
        <v>TEM PERFIL</v>
      </c>
      <c r="E93" s="1" t="str">
        <f aca="false">CONDUTORES!G67</f>
        <v>14/01/2027</v>
      </c>
      <c r="F93" s="1" t="n">
        <f aca="true">IFERROR(IF(ISNUMBER(E93),E93-TODAY(),DATE(VALUE(RIGHT(E93,4)),VALUE(MID(E93,4,2)),VALUE(LEFT(E93,2)))-TODAY()),"—")</f>
        <v>132</v>
      </c>
      <c r="G93" s="1" t="n">
        <f aca="true">IF(D93="TEM PERFIL",IFERROR(IF(ISNUMBER(E93),E93-TODAY(),DATE(VALUE(RIGHT(E93,4)),VALUE(MID(E93,4,2)),VALUE(LEFT(E93,2)))-TODAY())+ROW()/100000,9999999+ROW()/100000),9999999+ROW()/100000)</f>
        <v>132.00093</v>
      </c>
    </row>
    <row r="94" customFormat="false" ht="15" hidden="false" customHeight="true" outlineLevel="0" collapsed="false">
      <c r="A94" s="1" t="s">
        <v>304</v>
      </c>
      <c r="B94" s="1" t="str">
        <f aca="false">CONDUTORES!D68</f>
        <v>089.284.097-80</v>
      </c>
      <c r="C94" s="1" t="str">
        <f aca="false">CONDUTORES!E68</f>
        <v>WELTON BATISTA RIBEIRO</v>
      </c>
      <c r="D94" s="1" t="str">
        <f aca="false">CONDUTORES!F68</f>
        <v>NÃO TEM PERFIL</v>
      </c>
      <c r="E94" s="1" t="n">
        <f aca="false">CONDUTORES!G68</f>
        <v>0</v>
      </c>
      <c r="F94" s="1" t="str">
        <f aca="true">IFERROR(IF(ISNUMBER(E94),E94-TODAY(),DATE(VALUE(RIGHT(E94,4)),VALUE(MID(E94,4,2)),VALUE(LEFT(E94,2)))-TODAY()),"—")</f>
        <v>—</v>
      </c>
      <c r="G94" s="1" t="n">
        <f aca="true">IF(D94="TEM PERFIL",IFERROR(IF(ISNUMBER(E94),E94-TODAY(),DATE(VALUE(RIGHT(E94,4)),VALUE(MID(E94,4,2)),VALUE(LEFT(E94,2)))-TODAY())+ROW()/100000,9999999+ROW()/100000),9999999+ROW()/100000)</f>
        <v>9999999.00094</v>
      </c>
    </row>
    <row r="95" customFormat="false" ht="15" hidden="false" customHeight="true" outlineLevel="0" collapsed="false">
      <c r="A95" s="1" t="s">
        <v>304</v>
      </c>
      <c r="B95" s="1" t="str">
        <f aca="false">CONDUTORES!D69</f>
        <v>058.232.297-98</v>
      </c>
      <c r="C95" s="1" t="str">
        <f aca="false">CONDUTORES!E69</f>
        <v>CLEVERTON DOS SANTOS</v>
      </c>
      <c r="D95" s="1" t="str">
        <f aca="false">CONDUTORES!F69</f>
        <v>TEM PERFIL</v>
      </c>
      <c r="E95" s="53" t="n">
        <f aca="false">CONDUTORES!G69</f>
        <v>46406</v>
      </c>
      <c r="F95" s="1" t="n">
        <f aca="true">IFERROR(IF(ISNUMBER(E95),E95-TODAY(),DATE(VALUE(RIGHT(E95,4)),VALUE(MID(E95,4,2)),VALUE(LEFT(E95,2)))-TODAY()),"—")</f>
        <v>137</v>
      </c>
      <c r="G95" s="1" t="n">
        <f aca="true">IF(D95="TEM PERFIL",IFERROR(IF(ISNUMBER(E95),E95-TODAY(),DATE(VALUE(RIGHT(E95,4)),VALUE(MID(E95,4,2)),VALUE(LEFT(E95,2)))-TODAY())+ROW()/100000,9999999+ROW()/100000),9999999+ROW()/100000)</f>
        <v>137.00095</v>
      </c>
    </row>
    <row r="96" customFormat="false" ht="15" hidden="false" customHeight="true" outlineLevel="0" collapsed="false">
      <c r="A96" s="1" t="s">
        <v>304</v>
      </c>
      <c r="B96" s="1" t="str">
        <f aca="false">CONDUTORES!D70</f>
        <v>413.064.168-80</v>
      </c>
      <c r="C96" s="1" t="str">
        <f aca="false">CONDUTORES!E70</f>
        <v>WESLEY DOS SANTOS SOUZA</v>
      </c>
      <c r="D96" s="1" t="str">
        <f aca="false">CONDUTORES!F70</f>
        <v>TEM PERFIL</v>
      </c>
      <c r="E96" s="54" t="n">
        <f aca="false">CONDUTORES!G70</f>
        <v>46406</v>
      </c>
      <c r="F96" s="1" t="n">
        <f aca="true">IFERROR(IF(ISNUMBER(E96),E96-TODAY(),DATE(VALUE(RIGHT(E96,4)),VALUE(MID(E96,4,2)),VALUE(LEFT(E96,2)))-TODAY()),"—")</f>
        <v>137</v>
      </c>
      <c r="G96" s="1" t="n">
        <f aca="true">IF(D96="TEM PERFIL",IFERROR(IF(ISNUMBER(E96),E96-TODAY(),DATE(VALUE(RIGHT(E96,4)),VALUE(MID(E96,4,2)),VALUE(LEFT(E96,2)))-TODAY())+ROW()/100000,9999999+ROW()/100000),9999999+ROW()/100000)</f>
        <v>137.00096</v>
      </c>
    </row>
    <row r="97" customFormat="false" ht="15" hidden="false" customHeight="true" outlineLevel="0" collapsed="false">
      <c r="A97" s="1" t="s">
        <v>304</v>
      </c>
      <c r="B97" s="1" t="str">
        <f aca="false">CONDUTORES!D71</f>
        <v>085.107.795-11</v>
      </c>
      <c r="C97" s="1" t="str">
        <f aca="false">CONDUTORES!E71</f>
        <v>GLEIDSON CALIXTO DO SANTOS</v>
      </c>
      <c r="D97" s="1" t="str">
        <f aca="false">CONDUTORES!F71</f>
        <v>TEM PERFIL</v>
      </c>
      <c r="E97" s="54" t="n">
        <f aca="false">CONDUTORES!G71</f>
        <v>46406</v>
      </c>
      <c r="F97" s="1" t="n">
        <f aca="true">IFERROR(IF(ISNUMBER(E97),E97-TODAY(),DATE(VALUE(RIGHT(E97,4)),VALUE(MID(E97,4,2)),VALUE(LEFT(E97,2)))-TODAY()),"—")</f>
        <v>137</v>
      </c>
      <c r="G97" s="1" t="n">
        <f aca="true">IF(D97="TEM PERFIL",IFERROR(IF(ISNUMBER(E97),E97-TODAY(),DATE(VALUE(RIGHT(E97,4)),VALUE(MID(E97,4,2)),VALUE(LEFT(E97,2)))-TODAY())+ROW()/100000,9999999+ROW()/100000),9999999+ROW()/100000)</f>
        <v>137.00097</v>
      </c>
    </row>
    <row r="98" customFormat="false" ht="15" hidden="false" customHeight="true" outlineLevel="0" collapsed="false">
      <c r="A98" s="1" t="s">
        <v>304</v>
      </c>
      <c r="B98" s="1" t="str">
        <f aca="false">CONDUTORES!D72</f>
        <v>091.314.306-51</v>
      </c>
      <c r="C98" s="1" t="str">
        <f aca="false">CONDUTORES!E72</f>
        <v>LIOBINO XAVIER SOUSA</v>
      </c>
      <c r="D98" s="1" t="str">
        <f aca="false">CONDUTORES!F72</f>
        <v>TEM PERFIL</v>
      </c>
      <c r="E98" s="54" t="str">
        <f aca="false">CONDUTORES!G72</f>
        <v>18/02/2027</v>
      </c>
      <c r="F98" s="1" t="n">
        <f aca="true">IFERROR(IF(ISNUMBER(E98),E98-TODAY(),DATE(VALUE(RIGHT(E98,4)),VALUE(MID(E98,4,2)),VALUE(LEFT(E98,2)))-TODAY()),"—")</f>
        <v>167</v>
      </c>
      <c r="G98" s="1" t="n">
        <f aca="true">IF(D98="TEM PERFIL",IFERROR(IF(ISNUMBER(E98),E98-TODAY(),DATE(VALUE(RIGHT(E98,4)),VALUE(MID(E98,4,2)),VALUE(LEFT(E98,2)))-TODAY())+ROW()/100000,9999999+ROW()/100000),9999999+ROW()/100000)</f>
        <v>167.00098</v>
      </c>
    </row>
    <row r="99" customFormat="false" ht="15" hidden="false" customHeight="true" outlineLevel="0" collapsed="false">
      <c r="A99" s="1" t="s">
        <v>304</v>
      </c>
      <c r="B99" s="1" t="str">
        <f aca="false">CONDUTORES!D73</f>
        <v>155.639.966-97</v>
      </c>
      <c r="C99" s="1" t="str">
        <f aca="false">CONDUTORES!E73</f>
        <v>VINICIUS ALVES DE OLIVEIRA</v>
      </c>
      <c r="D99" s="1" t="str">
        <f aca="false">CONDUTORES!F73</f>
        <v>TEM PERFIL</v>
      </c>
      <c r="E99" s="1" t="str">
        <f aca="false">CONDUTORES!G73</f>
        <v>20/02/2027</v>
      </c>
      <c r="F99" s="1" t="n">
        <f aca="true">IFERROR(IF(ISNUMBER(E99),E99-TODAY(),DATE(VALUE(RIGHT(E99,4)),VALUE(MID(E99,4,2)),VALUE(LEFT(E99,2)))-TODAY()),"—")</f>
        <v>169</v>
      </c>
      <c r="G99" s="1" t="n">
        <f aca="true">IF(D99="TEM PERFIL",IFERROR(IF(ISNUMBER(E99),E99-TODAY(),DATE(VALUE(RIGHT(E99,4)),VALUE(MID(E99,4,2)),VALUE(LEFT(E99,2)))-TODAY())+ROW()/100000,9999999+ROW()/100000),9999999+ROW()/100000)</f>
        <v>169.00099</v>
      </c>
    </row>
    <row r="100" customFormat="false" ht="15" hidden="false" customHeight="true" outlineLevel="0" collapsed="false">
      <c r="A100" s="1" t="s">
        <v>304</v>
      </c>
      <c r="B100" s="1" t="str">
        <f aca="false">CONDUTORES!D74</f>
        <v>147.052.116-42</v>
      </c>
      <c r="C100" s="1" t="str">
        <f aca="false">CONDUTORES!E74</f>
        <v>BARDY CHARLES FARIA DOS SANTOS</v>
      </c>
      <c r="D100" s="1" t="str">
        <f aca="false">CONDUTORES!F74</f>
        <v>TEM PERFIL</v>
      </c>
      <c r="E100" s="1" t="str">
        <f aca="false">CONDUTORES!G74</f>
        <v>10/02/2027</v>
      </c>
      <c r="F100" s="1" t="n">
        <f aca="true">IFERROR(IF(ISNUMBER(E100),E100-TODAY(),DATE(VALUE(RIGHT(E100,4)),VALUE(MID(E100,4,2)),VALUE(LEFT(E100,2)))-TODAY()),"—")</f>
        <v>159</v>
      </c>
      <c r="G100" s="1" t="n">
        <f aca="true">IF(D100="TEM PERFIL",IFERROR(IF(ISNUMBER(E100),E100-TODAY(),DATE(VALUE(RIGHT(E100,4)),VALUE(MID(E100,4,2)),VALUE(LEFT(E100,2)))-TODAY())+ROW()/100000,9999999+ROW()/100000),9999999+ROW()/100000)</f>
        <v>159.001</v>
      </c>
    </row>
    <row r="101" customFormat="false" ht="15" hidden="false" customHeight="true" outlineLevel="0" collapsed="false">
      <c r="A101" s="1" t="s">
        <v>304</v>
      </c>
      <c r="B101" s="1" t="str">
        <f aca="false">CONDUTORES!D75</f>
        <v>117.517.156-55</v>
      </c>
      <c r="C101" s="1" t="str">
        <f aca="false">CONDUTORES!E75</f>
        <v>ROBSON LUCAS REIS DIAS</v>
      </c>
      <c r="D101" s="1" t="str">
        <f aca="false">CONDUTORES!F75</f>
        <v>TEM PERFIL</v>
      </c>
      <c r="E101" s="1" t="str">
        <f aca="false">CONDUTORES!G75</f>
        <v>10/02/2027</v>
      </c>
      <c r="F101" s="1" t="n">
        <f aca="true">IFERROR(IF(ISNUMBER(E101),E101-TODAY(),DATE(VALUE(RIGHT(E101,4)),VALUE(MID(E101,4,2)),VALUE(LEFT(E101,2)))-TODAY()),"—")</f>
        <v>159</v>
      </c>
      <c r="G101" s="1" t="n">
        <f aca="true">IF(D101="TEM PERFIL",IFERROR(IF(ISNUMBER(E101),E101-TODAY(),DATE(VALUE(RIGHT(E101,4)),VALUE(MID(E101,4,2)),VALUE(LEFT(E101,2)))-TODAY())+ROW()/100000,9999999+ROW()/100000),9999999+ROW()/100000)</f>
        <v>159.00101</v>
      </c>
    </row>
    <row r="102" customFormat="false" ht="15" hidden="false" customHeight="true" outlineLevel="0" collapsed="false">
      <c r="A102" s="1" t="s">
        <v>304</v>
      </c>
      <c r="B102" s="1" t="str">
        <f aca="false">CONDUTORES!D76</f>
        <v>051.356.117-03</v>
      </c>
      <c r="C102" s="1" t="str">
        <f aca="false">CONDUTORES!E76</f>
        <v>LEONARDO CRIVELLA</v>
      </c>
      <c r="D102" s="1" t="str">
        <f aca="false">CONDUTORES!F76</f>
        <v>TEM PERFIL</v>
      </c>
      <c r="E102" s="1" t="str">
        <f aca="false">CONDUTORES!G76</f>
        <v>10/02/2027</v>
      </c>
      <c r="F102" s="1" t="n">
        <f aca="true">IFERROR(IF(ISNUMBER(E102),E102-TODAY(),DATE(VALUE(RIGHT(E102,4)),VALUE(MID(E102,4,2)),VALUE(LEFT(E102,2)))-TODAY()),"—")</f>
        <v>159</v>
      </c>
      <c r="G102" s="1" t="n">
        <f aca="true">IF(D102="TEM PERFIL",IFERROR(IF(ISNUMBER(E102),E102-TODAY(),DATE(VALUE(RIGHT(E102,4)),VALUE(MID(E102,4,2)),VALUE(LEFT(E102,2)))-TODAY())+ROW()/100000,9999999+ROW()/100000),9999999+ROW()/100000)</f>
        <v>159.00102</v>
      </c>
    </row>
    <row r="103" customFormat="false" ht="15" hidden="false" customHeight="true" outlineLevel="0" collapsed="false">
      <c r="A103" s="1" t="s">
        <v>304</v>
      </c>
      <c r="B103" s="1" t="str">
        <f aca="false">CONDUTORES!D77</f>
        <v>700.722.211-00</v>
      </c>
      <c r="C103" s="1" t="str">
        <f aca="false">CONDUTORES!E77</f>
        <v>ROGERIO VIEIRA DE OLIVEIRA</v>
      </c>
      <c r="D103" s="1" t="str">
        <f aca="false">CONDUTORES!F77</f>
        <v>TEM PERFIL</v>
      </c>
      <c r="E103" s="1" t="str">
        <f aca="false">CONDUTORES!G77</f>
        <v>02/02/2027</v>
      </c>
      <c r="F103" s="1" t="n">
        <f aca="true">IFERROR(IF(ISNUMBER(E103),E103-TODAY(),DATE(VALUE(RIGHT(E103,4)),VALUE(MID(E103,4,2)),VALUE(LEFT(E103,2)))-TODAY()),"—")</f>
        <v>151</v>
      </c>
      <c r="G103" s="1" t="n">
        <f aca="true">IF(D103="TEM PERFIL",IFERROR(IF(ISNUMBER(E103),E103-TODAY(),DATE(VALUE(RIGHT(E103,4)),VALUE(MID(E103,4,2)),VALUE(LEFT(E103,2)))-TODAY())+ROW()/100000,9999999+ROW()/100000),9999999+ROW()/100000)</f>
        <v>151.00103</v>
      </c>
    </row>
    <row r="104" customFormat="false" ht="15" hidden="false" customHeight="true" outlineLevel="0" collapsed="false">
      <c r="A104" s="1" t="s">
        <v>304</v>
      </c>
      <c r="B104" s="1" t="str">
        <f aca="false">CONDUTORES!D78</f>
        <v>052.802.751-40</v>
      </c>
      <c r="C104" s="1" t="str">
        <f aca="false">CONDUTORES!E78</f>
        <v>LEANDRO LOPES GUIMARAES</v>
      </c>
      <c r="D104" s="1" t="str">
        <f aca="false">CONDUTORES!F78</f>
        <v>TEM PERFIL</v>
      </c>
      <c r="E104" s="1" t="str">
        <f aca="false">CONDUTORES!G78</f>
        <v>29/01/2027</v>
      </c>
      <c r="F104" s="1" t="n">
        <f aca="true">IFERROR(IF(ISNUMBER(E104),E104-TODAY(),DATE(VALUE(RIGHT(E104,4)),VALUE(MID(E104,4,2)),VALUE(LEFT(E104,2)))-TODAY()),"—")</f>
        <v>147</v>
      </c>
      <c r="G104" s="1" t="n">
        <f aca="true">IF(D104="TEM PERFIL",IFERROR(IF(ISNUMBER(E104),E104-TODAY(),DATE(VALUE(RIGHT(E104,4)),VALUE(MID(E104,4,2)),VALUE(LEFT(E104,2)))-TODAY())+ROW()/100000,9999999+ROW()/100000),9999999+ROW()/100000)</f>
        <v>147.00104</v>
      </c>
    </row>
    <row r="105" customFormat="false" ht="15" hidden="false" customHeight="true" outlineLevel="0" collapsed="false">
      <c r="A105" s="1" t="s">
        <v>304</v>
      </c>
      <c r="B105" s="1" t="str">
        <f aca="false">CONDUTORES!D79</f>
        <v>103.606.097-75</v>
      </c>
      <c r="C105" s="1" t="str">
        <f aca="false">CONDUTORES!E79</f>
        <v>VITOR PAULO ZAMBALDI</v>
      </c>
      <c r="D105" s="1" t="str">
        <f aca="false">CONDUTORES!F79</f>
        <v>TEM PERFIL</v>
      </c>
      <c r="E105" s="1" t="str">
        <f aca="false">CONDUTORES!G79</f>
        <v>28/01/2027</v>
      </c>
      <c r="F105" s="1" t="n">
        <f aca="true">IFERROR(IF(ISNUMBER(E105),E105-TODAY(),DATE(VALUE(RIGHT(E105,4)),VALUE(MID(E105,4,2)),VALUE(LEFT(E105,2)))-TODAY()),"—")</f>
        <v>146</v>
      </c>
      <c r="G105" s="1" t="n">
        <f aca="true">IF(D105="TEM PERFIL",IFERROR(IF(ISNUMBER(E105),E105-TODAY(),DATE(VALUE(RIGHT(E105,4)),VALUE(MID(E105,4,2)),VALUE(LEFT(E105,2)))-TODAY())+ROW()/100000,9999999+ROW()/100000),9999999+ROW()/100000)</f>
        <v>146.00105</v>
      </c>
    </row>
    <row r="106" customFormat="false" ht="15" hidden="false" customHeight="true" outlineLevel="0" collapsed="false">
      <c r="A106" s="1" t="s">
        <v>304</v>
      </c>
      <c r="B106" s="1" t="str">
        <f aca="false">CONDUTORES!D80</f>
        <v>107.090.087-75</v>
      </c>
      <c r="C106" s="1" t="str">
        <f aca="false">CONDUTORES!E80</f>
        <v>FABIO SALES DE OLIVEIRA</v>
      </c>
      <c r="D106" s="1" t="str">
        <f aca="false">CONDUTORES!F80</f>
        <v>TEM PERFIL</v>
      </c>
      <c r="E106" s="1" t="str">
        <f aca="false">CONDUTORES!G80</f>
        <v>28/01/2027</v>
      </c>
      <c r="F106" s="1" t="n">
        <f aca="true">IFERROR(IF(ISNUMBER(E106),E106-TODAY(),DATE(VALUE(RIGHT(E106,4)),VALUE(MID(E106,4,2)),VALUE(LEFT(E106,2)))-TODAY()),"—")</f>
        <v>146</v>
      </c>
      <c r="G106" s="1" t="n">
        <f aca="true">IF(D106="TEM PERFIL",IFERROR(IF(ISNUMBER(E106),E106-TODAY(),DATE(VALUE(RIGHT(E106,4)),VALUE(MID(E106,4,2)),VALUE(LEFT(E106,2)))-TODAY())+ROW()/100000,9999999+ROW()/100000),9999999+ROW()/100000)</f>
        <v>146.00106</v>
      </c>
    </row>
    <row r="107" customFormat="false" ht="15" hidden="false" customHeight="true" outlineLevel="0" collapsed="false">
      <c r="A107" s="1" t="s">
        <v>304</v>
      </c>
      <c r="B107" s="1" t="str">
        <f aca="false">CONDUTORES!D81</f>
        <v>107.782.127-18</v>
      </c>
      <c r="C107" s="1" t="str">
        <f aca="false">CONDUTORES!E81</f>
        <v>WERLY SOUSA DE OLIVEIRA</v>
      </c>
      <c r="D107" s="1" t="str">
        <f aca="false">CONDUTORES!F81</f>
        <v>TEM PERFIL</v>
      </c>
      <c r="E107" s="1" t="str">
        <f aca="false">CONDUTORES!G81</f>
        <v>24/12/2026</v>
      </c>
      <c r="F107" s="1" t="n">
        <f aca="true">IFERROR(IF(ISNUMBER(E107),E107-TODAY(),DATE(VALUE(RIGHT(E107,4)),VALUE(MID(E107,4,2)),VALUE(LEFT(E107,2)))-TODAY()),"—")</f>
        <v>111</v>
      </c>
      <c r="G107" s="1" t="n">
        <f aca="true">IF(D107="TEM PERFIL",IFERROR(IF(ISNUMBER(E107),E107-TODAY(),DATE(VALUE(RIGHT(E107,4)),VALUE(MID(E107,4,2)),VALUE(LEFT(E107,2)))-TODAY())+ROW()/100000,9999999+ROW()/100000),9999999+ROW()/100000)</f>
        <v>111.00107</v>
      </c>
    </row>
    <row r="108" customFormat="false" ht="15" hidden="false" customHeight="true" outlineLevel="0" collapsed="false">
      <c r="A108" s="1" t="s">
        <v>304</v>
      </c>
      <c r="B108" s="1" t="str">
        <f aca="false">CONDUTORES!D82</f>
        <v>118.848.377-35</v>
      </c>
      <c r="C108" s="1" t="str">
        <f aca="false">CONDUTORES!E82</f>
        <v>GILBERTO DA SILVA MIGUEL JUNIOR</v>
      </c>
      <c r="D108" s="1" t="str">
        <f aca="false">CONDUTORES!F82</f>
        <v>TEM PERFIL</v>
      </c>
      <c r="E108" s="1" t="str">
        <f aca="false">CONDUTORES!G82</f>
        <v>26/01/2027</v>
      </c>
      <c r="F108" s="1" t="n">
        <f aca="true">IFERROR(IF(ISNUMBER(E108),E108-TODAY(),DATE(VALUE(RIGHT(E108,4)),VALUE(MID(E108,4,2)),VALUE(LEFT(E108,2)))-TODAY()),"—")</f>
        <v>144</v>
      </c>
      <c r="G108" s="1" t="n">
        <f aca="true">IF(D108="TEM PERFIL",IFERROR(IF(ISNUMBER(E108),E108-TODAY(),DATE(VALUE(RIGHT(E108,4)),VALUE(MID(E108,4,2)),VALUE(LEFT(E108,2)))-TODAY())+ROW()/100000,9999999+ROW()/100000),9999999+ROW()/100000)</f>
        <v>144.00108</v>
      </c>
    </row>
    <row r="109" customFormat="false" ht="15" hidden="false" customHeight="true" outlineLevel="0" collapsed="false">
      <c r="A109" s="1" t="s">
        <v>304</v>
      </c>
      <c r="B109" s="1" t="str">
        <f aca="false">CONDUTORES!D83</f>
        <v>046.603.256-01</v>
      </c>
      <c r="C109" s="1" t="str">
        <f aca="false">CONDUTORES!E83</f>
        <v>ALISSON SANTOS VELOSO</v>
      </c>
      <c r="D109" s="1" t="str">
        <f aca="false">CONDUTORES!F83</f>
        <v>TEM PERFIL</v>
      </c>
      <c r="E109" s="1" t="str">
        <f aca="false">CONDUTORES!G83</f>
        <v>26/01/2027</v>
      </c>
      <c r="F109" s="1" t="n">
        <f aca="true">IFERROR(IF(ISNUMBER(E109),E109-TODAY(),DATE(VALUE(RIGHT(E109,4)),VALUE(MID(E109,4,2)),VALUE(LEFT(E109,2)))-TODAY()),"—")</f>
        <v>144</v>
      </c>
      <c r="G109" s="1" t="n">
        <f aca="true">IF(D109="TEM PERFIL",IFERROR(IF(ISNUMBER(E109),E109-TODAY(),DATE(VALUE(RIGHT(E109,4)),VALUE(MID(E109,4,2)),VALUE(LEFT(E109,2)))-TODAY())+ROW()/100000,9999999+ROW()/100000),9999999+ROW()/100000)</f>
        <v>144.00109</v>
      </c>
    </row>
    <row r="110" customFormat="false" ht="15" hidden="false" customHeight="true" outlineLevel="0" collapsed="false">
      <c r="A110" s="1" t="s">
        <v>304</v>
      </c>
      <c r="B110" s="1" t="str">
        <f aca="false">CONDUTORES!D84</f>
        <v>036.870.961-22</v>
      </c>
      <c r="C110" s="1" t="str">
        <f aca="false">CONDUTORES!E84</f>
        <v>ALEXANDRE AMORIM DE SOUZA</v>
      </c>
      <c r="D110" s="1" t="str">
        <f aca="false">CONDUTORES!F84</f>
        <v>TEM PERFIL</v>
      </c>
      <c r="E110" s="1" t="str">
        <f aca="false">CONDUTORES!G84</f>
        <v>19/01/2027</v>
      </c>
      <c r="F110" s="1" t="n">
        <f aca="true">IFERROR(IF(ISNUMBER(E110),E110-TODAY(),DATE(VALUE(RIGHT(E110,4)),VALUE(MID(E110,4,2)),VALUE(LEFT(E110,2)))-TODAY()),"—")</f>
        <v>137</v>
      </c>
      <c r="G110" s="1" t="n">
        <f aca="true">IF(D110="TEM PERFIL",IFERROR(IF(ISNUMBER(E110),E110-TODAY(),DATE(VALUE(RIGHT(E110,4)),VALUE(MID(E110,4,2)),VALUE(LEFT(E110,2)))-TODAY())+ROW()/100000,9999999+ROW()/100000),9999999+ROW()/100000)</f>
        <v>137.0011</v>
      </c>
    </row>
    <row r="111" customFormat="false" ht="15" hidden="false" customHeight="true" outlineLevel="0" collapsed="false">
      <c r="A111" s="1" t="s">
        <v>304</v>
      </c>
      <c r="B111" s="1" t="str">
        <f aca="false">CONDUTORES!D85</f>
        <v>098.280.777-52</v>
      </c>
      <c r="C111" s="1" t="str">
        <f aca="false">CONDUTORES!E85</f>
        <v>JORGE LEONARDO DE AGUIAR NEVES</v>
      </c>
      <c r="D111" s="1" t="str">
        <f aca="false">CONDUTORES!F85</f>
        <v>TEM PERFIL</v>
      </c>
      <c r="E111" s="1" t="str">
        <f aca="false">CONDUTORES!G85</f>
        <v>01/03/2027</v>
      </c>
      <c r="F111" s="1" t="n">
        <f aca="true">IFERROR(IF(ISNUMBER(E111),E111-TODAY(),DATE(VALUE(RIGHT(E111,4)),VALUE(MID(E111,4,2)),VALUE(LEFT(E111,2)))-TODAY()),"—")</f>
        <v>178</v>
      </c>
      <c r="G111" s="1" t="n">
        <f aca="true">IF(D111="TEM PERFIL",IFERROR(IF(ISNUMBER(E111),E111-TODAY(),DATE(VALUE(RIGHT(E111,4)),VALUE(MID(E111,4,2)),VALUE(LEFT(E111,2)))-TODAY())+ROW()/100000,9999999+ROW()/100000),9999999+ROW()/100000)</f>
        <v>178.00111</v>
      </c>
    </row>
    <row r="112" customFormat="false" ht="15" hidden="false" customHeight="true" outlineLevel="0" collapsed="false">
      <c r="A112" s="1" t="s">
        <v>304</v>
      </c>
      <c r="B112" s="1" t="str">
        <f aca="false">CONDUTORES!D86</f>
        <v>161.902.877-86</v>
      </c>
      <c r="C112" s="1" t="str">
        <f aca="false">CONDUTORES!E86</f>
        <v>ALUIZIO CANDEIA DOS SANTOS FILHO</v>
      </c>
      <c r="D112" s="1" t="str">
        <f aca="false">CONDUTORES!F86</f>
        <v>TEM PERFIL</v>
      </c>
      <c r="E112" s="1" t="str">
        <f aca="false">CONDUTORES!G86</f>
        <v>01/03/2027</v>
      </c>
      <c r="F112" s="1" t="n">
        <f aca="true">IFERROR(IF(ISNUMBER(E112),E112-TODAY(),DATE(VALUE(RIGHT(E112,4)),VALUE(MID(E112,4,2)),VALUE(LEFT(E112,2)))-TODAY()),"—")</f>
        <v>178</v>
      </c>
      <c r="G112" s="1" t="n">
        <f aca="true">IF(D112="TEM PERFIL",IFERROR(IF(ISNUMBER(E112),E112-TODAY(),DATE(VALUE(RIGHT(E112,4)),VALUE(MID(E112,4,2)),VALUE(LEFT(E112,2)))-TODAY())+ROW()/100000,9999999+ROW()/100000),9999999+ROW()/100000)</f>
        <v>178.00112</v>
      </c>
    </row>
    <row r="113" customFormat="false" ht="15" hidden="false" customHeight="true" outlineLevel="0" collapsed="false">
      <c r="A113" s="1" t="s">
        <v>304</v>
      </c>
      <c r="B113" s="1" t="str">
        <f aca="false">CONDUTORES!D87</f>
        <v>090.432.937-25</v>
      </c>
      <c r="C113" s="1" t="str">
        <f aca="false">CONDUTORES!E87</f>
        <v>ANDRE LUIZ BORGES AFFONSO</v>
      </c>
      <c r="D113" s="1" t="str">
        <f aca="false">CONDUTORES!F87</f>
        <v>TEM PERFIL</v>
      </c>
      <c r="E113" s="1" t="str">
        <f aca="false">CONDUTORES!G87</f>
        <v>01/03/2027</v>
      </c>
      <c r="F113" s="1" t="n">
        <f aca="true">IFERROR(IF(ISNUMBER(E113),E113-TODAY(),DATE(VALUE(RIGHT(E113,4)),VALUE(MID(E113,4,2)),VALUE(LEFT(E113,2)))-TODAY()),"—")</f>
        <v>178</v>
      </c>
      <c r="G113" s="1" t="n">
        <f aca="true">IF(D113="TEM PERFIL",IFERROR(IF(ISNUMBER(E113),E113-TODAY(),DATE(VALUE(RIGHT(E113,4)),VALUE(MID(E113,4,2)),VALUE(LEFT(E113,2)))-TODAY())+ROW()/100000,9999999+ROW()/100000),9999999+ROW()/100000)</f>
        <v>178.00113</v>
      </c>
    </row>
    <row r="114" customFormat="false" ht="15" hidden="false" customHeight="true" outlineLevel="0" collapsed="false">
      <c r="A114" s="1" t="s">
        <v>304</v>
      </c>
      <c r="B114" s="1" t="str">
        <f aca="false">CONDUTORES!D88</f>
        <v>154.019.857-03</v>
      </c>
      <c r="C114" s="1" t="str">
        <f aca="false">CONDUTORES!E88</f>
        <v>ROMARIO FREITAS GOMES</v>
      </c>
      <c r="D114" s="1" t="str">
        <f aca="false">CONDUTORES!F88</f>
        <v>TEM PERFIL</v>
      </c>
      <c r="E114" s="1" t="str">
        <f aca="false">CONDUTORES!G88</f>
        <v>01/03/2027</v>
      </c>
      <c r="F114" s="1" t="n">
        <f aca="true">IFERROR(IF(ISNUMBER(E114),E114-TODAY(),DATE(VALUE(RIGHT(E114,4)),VALUE(MID(E114,4,2)),VALUE(LEFT(E114,2)))-TODAY()),"—")</f>
        <v>178</v>
      </c>
      <c r="G114" s="1" t="n">
        <f aca="true">IF(D114="TEM PERFIL",IFERROR(IF(ISNUMBER(E114),E114-TODAY(),DATE(VALUE(RIGHT(E114,4)),VALUE(MID(E114,4,2)),VALUE(LEFT(E114,2)))-TODAY())+ROW()/100000,9999999+ROW()/100000),9999999+ROW()/100000)</f>
        <v>178.00114</v>
      </c>
    </row>
    <row r="115" customFormat="false" ht="15" hidden="false" customHeight="true" outlineLevel="0" collapsed="false">
      <c r="A115" s="1" t="s">
        <v>304</v>
      </c>
      <c r="B115" s="1" t="str">
        <f aca="false">CONDUTORES!D89</f>
        <v>190.582.267-78</v>
      </c>
      <c r="C115" s="1" t="str">
        <f aca="false">CONDUTORES!E89</f>
        <v>ISRAEL DE ALBUQUERQUE</v>
      </c>
      <c r="D115" s="1" t="str">
        <f aca="false">CONDUTORES!F89</f>
        <v>TEM PERFIL</v>
      </c>
      <c r="E115" s="1" t="str">
        <f aca="false">CONDUTORES!G89</f>
        <v>01/03/2027</v>
      </c>
      <c r="F115" s="1" t="n">
        <f aca="true">IFERROR(IF(ISNUMBER(E115),E115-TODAY(),DATE(VALUE(RIGHT(E115,4)),VALUE(MID(E115,4,2)),VALUE(LEFT(E115,2)))-TODAY()),"—")</f>
        <v>178</v>
      </c>
      <c r="G115" s="1" t="n">
        <f aca="true">IF(D115="TEM PERFIL",IFERROR(IF(ISNUMBER(E115),E115-TODAY(),DATE(VALUE(RIGHT(E115,4)),VALUE(MID(E115,4,2)),VALUE(LEFT(E115,2)))-TODAY())+ROW()/100000,9999999+ROW()/100000),9999999+ROW()/100000)</f>
        <v>178.00115</v>
      </c>
    </row>
    <row r="116" customFormat="false" ht="15" hidden="false" customHeight="true" outlineLevel="0" collapsed="false">
      <c r="A116" s="1" t="s">
        <v>304</v>
      </c>
      <c r="B116" s="1" t="str">
        <f aca="false">CONDUTORES!D90</f>
        <v>078.659.217-64</v>
      </c>
      <c r="C116" s="1" t="str">
        <f aca="false">CONDUTORES!E90</f>
        <v>CELIO ROBERTO IDALINO DE SOUZA</v>
      </c>
      <c r="D116" s="1" t="str">
        <f aca="false">CONDUTORES!F90</f>
        <v>CPF INVÁLIDO</v>
      </c>
      <c r="E116" s="1" t="n">
        <f aca="false">CONDUTORES!G90</f>
        <v>0</v>
      </c>
      <c r="F116" s="1" t="str">
        <f aca="true">IFERROR(IF(ISNUMBER(E116),E116-TODAY(),DATE(VALUE(RIGHT(E116,4)),VALUE(MID(E116,4,2)),VALUE(LEFT(E116,2)))-TODAY()),"—")</f>
        <v>—</v>
      </c>
      <c r="G116" s="1" t="n">
        <f aca="true">IF(D116="TEM PERFIL",IFERROR(IF(ISNUMBER(E116),E116-TODAY(),DATE(VALUE(RIGHT(E116,4)),VALUE(MID(E116,4,2)),VALUE(LEFT(E116,2)))-TODAY())+ROW()/100000,9999999+ROW()/100000),9999999+ROW()/100000)</f>
        <v>9999999.00116</v>
      </c>
    </row>
    <row r="117" customFormat="false" ht="15" hidden="false" customHeight="true" outlineLevel="0" collapsed="false">
      <c r="A117" s="1" t="s">
        <v>304</v>
      </c>
      <c r="B117" s="1" t="str">
        <f aca="false">CONDUTORES!D91</f>
        <v>134.334.417-40</v>
      </c>
      <c r="C117" s="1" t="str">
        <f aca="false">CONDUTORES!E91</f>
        <v>LUCAS PEDRA DA SILVA</v>
      </c>
      <c r="D117" s="1" t="str">
        <f aca="false">CONDUTORES!F91</f>
        <v>TEM PERFIL</v>
      </c>
      <c r="E117" s="1" t="str">
        <f aca="false">CONDUTORES!G91</f>
        <v>01/03/2027</v>
      </c>
      <c r="F117" s="1" t="n">
        <f aca="true">IFERROR(IF(ISNUMBER(E117),E117-TODAY(),DATE(VALUE(RIGHT(E117,4)),VALUE(MID(E117,4,2)),VALUE(LEFT(E117,2)))-TODAY()),"—")</f>
        <v>178</v>
      </c>
      <c r="G117" s="1" t="n">
        <f aca="true">IF(D117="TEM PERFIL",IFERROR(IF(ISNUMBER(E117),E117-TODAY(),DATE(VALUE(RIGHT(E117,4)),VALUE(MID(E117,4,2)),VALUE(LEFT(E117,2)))-TODAY())+ROW()/100000,9999999+ROW()/100000),9999999+ROW()/100000)</f>
        <v>178.00117</v>
      </c>
    </row>
    <row r="118" customFormat="false" ht="15" hidden="false" customHeight="true" outlineLevel="0" collapsed="false">
      <c r="A118" s="1" t="s">
        <v>304</v>
      </c>
      <c r="B118" s="1" t="str">
        <f aca="false">CONDUTORES!D92</f>
        <v>085.216.867-57</v>
      </c>
      <c r="C118" s="1" t="str">
        <f aca="false">CONDUTORES!E92</f>
        <v>EDUARDO DOS SANTOS BAITA</v>
      </c>
      <c r="D118" s="1" t="str">
        <f aca="false">CONDUTORES!F92</f>
        <v>TEM PERFIL</v>
      </c>
      <c r="E118" s="1" t="str">
        <f aca="false">CONDUTORES!G92</f>
        <v>26/02/2027</v>
      </c>
      <c r="F118" s="1" t="n">
        <f aca="true">IFERROR(IF(ISNUMBER(E118),E118-TODAY(),DATE(VALUE(RIGHT(E118,4)),VALUE(MID(E118,4,2)),VALUE(LEFT(E118,2)))-TODAY()),"—")</f>
        <v>175</v>
      </c>
      <c r="G118" s="1" t="n">
        <f aca="true">IF(D118="TEM PERFIL",IFERROR(IF(ISNUMBER(E118),E118-TODAY(),DATE(VALUE(RIGHT(E118,4)),VALUE(MID(E118,4,2)),VALUE(LEFT(E118,2)))-TODAY())+ROW()/100000,9999999+ROW()/100000),9999999+ROW()/100000)</f>
        <v>175.00118</v>
      </c>
    </row>
    <row r="119" customFormat="false" ht="15" hidden="false" customHeight="true" outlineLevel="0" collapsed="false">
      <c r="A119" s="1" t="s">
        <v>304</v>
      </c>
      <c r="B119" s="1" t="str">
        <f aca="false">CONDUTORES!D93</f>
        <v>116.935.557-94</v>
      </c>
      <c r="C119" s="1" t="str">
        <f aca="false">CONDUTORES!E93</f>
        <v>TIAGO FERREIRA DA SILVA</v>
      </c>
      <c r="D119" s="1" t="str">
        <f aca="false">CONDUTORES!F93</f>
        <v>DOCUMENTO VENCIDO</v>
      </c>
      <c r="E119" s="1" t="n">
        <f aca="false">CONDUTORES!G93</f>
        <v>0</v>
      </c>
      <c r="F119" s="1" t="str">
        <f aca="true">IFERROR(IF(ISNUMBER(E119),E119-TODAY(),DATE(VALUE(RIGHT(E119,4)),VALUE(MID(E119,4,2)),VALUE(LEFT(E119,2)))-TODAY()),"—")</f>
        <v>—</v>
      </c>
      <c r="G119" s="1" t="n">
        <f aca="true">IF(D119="TEM PERFIL",IFERROR(IF(ISNUMBER(E119),E119-TODAY(),DATE(VALUE(RIGHT(E119,4)),VALUE(MID(E119,4,2)),VALUE(LEFT(E119,2)))-TODAY())+ROW()/100000,9999999+ROW()/100000),9999999+ROW()/100000)</f>
        <v>9999999.00119</v>
      </c>
    </row>
    <row r="120" customFormat="false" ht="15" hidden="false" customHeight="true" outlineLevel="0" collapsed="false">
      <c r="A120" s="1" t="s">
        <v>304</v>
      </c>
      <c r="B120" s="1" t="n">
        <f aca="false">CONDUTORES!D94</f>
        <v>0</v>
      </c>
      <c r="C120" s="1" t="n">
        <f aca="false">CONDUTORES!E94</f>
        <v>0</v>
      </c>
      <c r="D120" s="1" t="n">
        <f aca="false">CONDUTORES!F94</f>
        <v>0</v>
      </c>
      <c r="E120" s="1" t="n">
        <f aca="false">CONDUTORES!G94</f>
        <v>0</v>
      </c>
      <c r="F120" s="1" t="str">
        <f aca="true">IFERROR(IF(ISNUMBER(E120),E120-TODAY(),DATE(VALUE(RIGHT(E120,4)),VALUE(MID(E120,4,2)),VALUE(LEFT(E120,2)))-TODAY()),"—")</f>
        <v>—</v>
      </c>
      <c r="G120" s="1" t="n">
        <f aca="true">IF(D120="TEM PERFIL",IFERROR(IF(ISNUMBER(E120),E120-TODAY(),DATE(VALUE(RIGHT(E120,4)),VALUE(MID(E120,4,2)),VALUE(LEFT(E120,2)))-TODAY())+ROW()/100000,9999999+ROW()/100000),9999999+ROW()/100000)</f>
        <v>9999999.0012</v>
      </c>
    </row>
    <row r="121" customFormat="false" ht="15" hidden="false" customHeight="true" outlineLevel="0" collapsed="false">
      <c r="A121" s="1" t="s">
        <v>304</v>
      </c>
      <c r="B121" s="1" t="n">
        <f aca="false">CONDUTORES!D95</f>
        <v>0</v>
      </c>
      <c r="C121" s="1" t="n">
        <f aca="false">CONDUTORES!E95</f>
        <v>0</v>
      </c>
      <c r="D121" s="1" t="n">
        <f aca="false">CONDUTORES!F95</f>
        <v>0</v>
      </c>
      <c r="E121" s="1" t="n">
        <f aca="false">CONDUTORES!G95</f>
        <v>0</v>
      </c>
      <c r="F121" s="1" t="str">
        <f aca="true">IFERROR(IF(ISNUMBER(E121),E121-TODAY(),DATE(VALUE(RIGHT(E121,4)),VALUE(MID(E121,4,2)),VALUE(LEFT(E121,2)))-TODAY()),"—")</f>
        <v>—</v>
      </c>
      <c r="G121" s="1" t="n">
        <f aca="true">IF(D121="TEM PERFIL",IFERROR(IF(ISNUMBER(E121),E121-TODAY(),DATE(VALUE(RIGHT(E121,4)),VALUE(MID(E121,4,2)),VALUE(LEFT(E121,2)))-TODAY())+ROW()/100000,9999999+ROW()/100000),9999999+ROW()/100000)</f>
        <v>9999999.00121</v>
      </c>
    </row>
    <row r="122" customFormat="false" ht="15" hidden="false" customHeight="true" outlineLevel="0" collapsed="false">
      <c r="A122" s="1" t="s">
        <v>305</v>
      </c>
      <c r="B122" s="1" t="str">
        <f aca="false">FUNCIONARIOS!B6</f>
        <v>058.232.297-98</v>
      </c>
      <c r="C122" s="1" t="str">
        <f aca="false">FUNCIONARIOS!C6</f>
        <v>CLEVERTON DOS SANTOS</v>
      </c>
      <c r="D122" s="1" t="str">
        <f aca="false">FUNCIONARIOS!D6</f>
        <v>TEM PERFIL</v>
      </c>
      <c r="E122" s="51" t="str">
        <f aca="false">FUNCIONARIOS!E6</f>
        <v>19/01/2027</v>
      </c>
      <c r="F122" s="1" t="n">
        <f aca="true">IFERROR(IF(ISNUMBER(E122),E122-TODAY(),DATE(VALUE(RIGHT(E122,4)),VALUE(MID(E122,4,2)),VALUE(LEFT(E122,2)))-TODAY()),"—")</f>
        <v>137</v>
      </c>
      <c r="G122" s="1" t="n">
        <f aca="true">IF(D122="TEM PERFIL",IFERROR(IF(ISNUMBER(E122),E122-TODAY(),DATE(VALUE(RIGHT(E122,4)),VALUE(MID(E122,4,2)),VALUE(LEFT(E122,2)))-TODAY())+ROW()/100000,9999999+ROW()/100000),9999999+ROW()/100000)</f>
        <v>137.00122</v>
      </c>
    </row>
    <row r="123" customFormat="false" ht="15" hidden="false" customHeight="true" outlineLevel="0" collapsed="false">
      <c r="A123" s="1" t="s">
        <v>305</v>
      </c>
      <c r="B123" s="1" t="str">
        <f aca="false">FUNCIONARIOS!B7</f>
        <v>708.595.061-77</v>
      </c>
      <c r="C123" s="1" t="str">
        <f aca="false">FUNCIONARIOS!C7</f>
        <v>RAQUEL DA SILVA SOUZA</v>
      </c>
      <c r="D123" s="1" t="str">
        <f aca="false">FUNCIONARIOS!D7</f>
        <v>TEM PERFIL</v>
      </c>
      <c r="E123" s="51" t="str">
        <f aca="false">FUNCIONARIOS!E7</f>
        <v>29/01/2027</v>
      </c>
      <c r="F123" s="1" t="n">
        <f aca="true">IFERROR(IF(ISNUMBER(E123),E123-TODAY(),DATE(VALUE(RIGHT(E123,4)),VALUE(MID(E123,4,2)),VALUE(LEFT(E123,2)))-TODAY()),"—")</f>
        <v>147</v>
      </c>
      <c r="G123" s="1" t="n">
        <f aca="true">IF(D123="TEM PERFIL",IFERROR(IF(ISNUMBER(E123),E123-TODAY(),DATE(VALUE(RIGHT(E123,4)),VALUE(MID(E123,4,2)),VALUE(LEFT(E123,2)))-TODAY())+ROW()/100000,9999999+ROW()/100000),9999999+ROW()/100000)</f>
        <v>147.00123</v>
      </c>
    </row>
    <row r="124" customFormat="false" ht="15" hidden="false" customHeight="true" outlineLevel="0" collapsed="false">
      <c r="A124" s="1" t="s">
        <v>305</v>
      </c>
      <c r="B124" s="1" t="str">
        <f aca="false">FUNCIONARIOS!B8</f>
        <v>175.662.527-12</v>
      </c>
      <c r="C124" s="1" t="str">
        <f aca="false">FUNCIONARIOS!C8</f>
        <v>MATHEUS TEIXEIRA MEDEIROS MACHADO</v>
      </c>
      <c r="D124" s="1" t="str">
        <f aca="false">FUNCIONARIOS!D8</f>
        <v>TEM PERFIL</v>
      </c>
      <c r="E124" s="51" t="n">
        <f aca="false">FUNCIONARIOS!E8</f>
        <v>46406</v>
      </c>
      <c r="F124" s="1" t="n">
        <f aca="true">IFERROR(IF(ISNUMBER(E124),E124-TODAY(),DATE(VALUE(RIGHT(E124,4)),VALUE(MID(E124,4,2)),VALUE(LEFT(E124,2)))-TODAY()),"—")</f>
        <v>137</v>
      </c>
      <c r="G124" s="1" t="n">
        <f aca="true">IF(D124="TEM PERFIL",IFERROR(IF(ISNUMBER(E124),E124-TODAY(),DATE(VALUE(RIGHT(E124,4)),VALUE(MID(E124,4,2)),VALUE(LEFT(E124,2)))-TODAY())+ROW()/100000,9999999+ROW()/100000),9999999+ROW()/100000)</f>
        <v>137.00124</v>
      </c>
    </row>
    <row r="125" customFormat="false" ht="15" hidden="false" customHeight="true" outlineLevel="0" collapsed="false">
      <c r="A125" s="1" t="s">
        <v>305</v>
      </c>
      <c r="B125" s="1" t="str">
        <f aca="false">FUNCIONARIOS!B9</f>
        <v>147.345.877-36</v>
      </c>
      <c r="C125" s="1" t="str">
        <f aca="false">FUNCIONARIOS!C9</f>
        <v>RAPHAEL AZEVEDO MAIA</v>
      </c>
      <c r="D125" s="1" t="str">
        <f aca="false">FUNCIONARIOS!D9</f>
        <v>TEM PERFIL</v>
      </c>
      <c r="E125" s="51" t="n">
        <f aca="false">FUNCIONARIOS!E9</f>
        <v>46406</v>
      </c>
      <c r="F125" s="1" t="n">
        <f aca="true">IFERROR(IF(ISNUMBER(E125),E125-TODAY(),DATE(VALUE(RIGHT(E125,4)),VALUE(MID(E125,4,2)),VALUE(LEFT(E125,2)))-TODAY()),"—")</f>
        <v>137</v>
      </c>
      <c r="G125" s="1" t="n">
        <f aca="true">IF(D125="TEM PERFIL",IFERROR(IF(ISNUMBER(E125),E125-TODAY(),DATE(VALUE(RIGHT(E125,4)),VALUE(MID(E125,4,2)),VALUE(LEFT(E125,2)))-TODAY())+ROW()/100000,9999999+ROW()/100000),9999999+ROW()/100000)</f>
        <v>137.00125</v>
      </c>
    </row>
    <row r="126" customFormat="false" ht="15" hidden="false" customHeight="true" outlineLevel="0" collapsed="false">
      <c r="A126" s="1" t="s">
        <v>305</v>
      </c>
      <c r="B126" s="1" t="str">
        <f aca="false">FUNCIONARIOS!B10</f>
        <v>768.877.741-00</v>
      </c>
      <c r="C126" s="1" t="str">
        <f aca="false">FUNCIONARIOS!C10</f>
        <v>MARCIO GEORGE SAMPAIO DE FARIAS</v>
      </c>
      <c r="D126" s="1" t="str">
        <f aca="false">FUNCIONARIOS!D10</f>
        <v>TEM PERFIL</v>
      </c>
      <c r="E126" s="51" t="n">
        <f aca="false">FUNCIONARIOS!E10</f>
        <v>46406</v>
      </c>
      <c r="F126" s="1" t="n">
        <f aca="true">IFERROR(IF(ISNUMBER(E126),E126-TODAY(),DATE(VALUE(RIGHT(E126,4)),VALUE(MID(E126,4,2)),VALUE(LEFT(E126,2)))-TODAY()),"—")</f>
        <v>137</v>
      </c>
      <c r="G126" s="1" t="n">
        <f aca="true">IF(D126="TEM PERFIL",IFERROR(IF(ISNUMBER(E126),E126-TODAY(),DATE(VALUE(RIGHT(E126,4)),VALUE(MID(E126,4,2)),VALUE(LEFT(E126,2)))-TODAY())+ROW()/100000,9999999+ROW()/100000),9999999+ROW()/100000)</f>
        <v>137.00126</v>
      </c>
    </row>
    <row r="127" customFormat="false" ht="15" hidden="false" customHeight="true" outlineLevel="0" collapsed="false">
      <c r="A127" s="1" t="s">
        <v>305</v>
      </c>
      <c r="B127" s="1" t="str">
        <f aca="false">FUNCIONARIOS!B11</f>
        <v>164.861.227-06</v>
      </c>
      <c r="C127" s="1" t="str">
        <f aca="false">FUNCIONARIOS!C11</f>
        <v>ADEIRAN LIMA SANTOS (OUTROS)</v>
      </c>
      <c r="D127" s="1" t="str">
        <f aca="false">FUNCIONARIOS!D11</f>
        <v>TEM PERFIL</v>
      </c>
      <c r="E127" s="51" t="str">
        <f aca="false">FUNCIONARIOS!E11</f>
        <v>28/01/2027</v>
      </c>
      <c r="F127" s="1" t="n">
        <f aca="true">IFERROR(IF(ISNUMBER(E127),E127-TODAY(),DATE(VALUE(RIGHT(E127,4)),VALUE(MID(E127,4,2)),VALUE(LEFT(E127,2)))-TODAY()),"—")</f>
        <v>146</v>
      </c>
      <c r="G127" s="1" t="n">
        <f aca="true">IF(D127="TEM PERFIL",IFERROR(IF(ISNUMBER(E127),E127-TODAY(),DATE(VALUE(RIGHT(E127,4)),VALUE(MID(E127,4,2)),VALUE(LEFT(E127,2)))-TODAY())+ROW()/100000,9999999+ROW()/100000),9999999+ROW()/100000)</f>
        <v>146.00127</v>
      </c>
    </row>
    <row r="128" customFormat="false" ht="15" hidden="false" customHeight="true" outlineLevel="0" collapsed="false">
      <c r="A128" s="1" t="s">
        <v>305</v>
      </c>
      <c r="B128" s="1" t="str">
        <f aca="false">FUNCIONARIOS!B12</f>
        <v>061.825.737-32</v>
      </c>
      <c r="C128" s="1" t="str">
        <f aca="false">FUNCIONARIOS!C12</f>
        <v>GUSTAVO RIBEIRO DE MEDEIROS (CONFERENTE)</v>
      </c>
      <c r="D128" s="1" t="str">
        <f aca="false">FUNCIONARIOS!D12</f>
        <v>TEM PERFIL</v>
      </c>
      <c r="E128" s="51" t="str">
        <f aca="false">FUNCIONARIOS!E12</f>
        <v>28/01/2027</v>
      </c>
      <c r="F128" s="1" t="n">
        <f aca="true">IFERROR(IF(ISNUMBER(E128),E128-TODAY(),DATE(VALUE(RIGHT(E128,4)),VALUE(MID(E128,4,2)),VALUE(LEFT(E128,2)))-TODAY()),"—")</f>
        <v>146</v>
      </c>
      <c r="G128" s="1" t="n">
        <f aca="true">IF(D128="TEM PERFIL",IFERROR(IF(ISNUMBER(E128),E128-TODAY(),DATE(VALUE(RIGHT(E128,4)),VALUE(MID(E128,4,2)),VALUE(LEFT(E128,2)))-TODAY())+ROW()/100000,9999999+ROW()/100000),9999999+ROW()/100000)</f>
        <v>146.00128</v>
      </c>
    </row>
    <row r="129" customFormat="false" ht="15" hidden="false" customHeight="true" outlineLevel="0" collapsed="false">
      <c r="A129" s="1" t="s">
        <v>305</v>
      </c>
      <c r="B129" s="1" t="str">
        <f aca="false">FUNCIONARIOS!B13</f>
        <v>026.057.045-13</v>
      </c>
      <c r="C129" s="1" t="str">
        <f aca="false">FUNCIONARIOS!C13</f>
        <v>JOAO DOS SANTOS GUIMARAES (OUTROS)</v>
      </c>
      <c r="D129" s="1" t="str">
        <f aca="false">FUNCIONARIOS!D13</f>
        <v>NÃO TEM PERFIL</v>
      </c>
      <c r="E129" s="51" t="n">
        <f aca="false">FUNCIONARIOS!E13</f>
        <v>0</v>
      </c>
      <c r="F129" s="1" t="str">
        <f aca="true">IFERROR(IF(ISNUMBER(E129),E129-TODAY(),DATE(VALUE(RIGHT(E129,4)),VALUE(MID(E129,4,2)),VALUE(LEFT(E129,2)))-TODAY()),"—")</f>
        <v>—</v>
      </c>
      <c r="G129" s="1" t="n">
        <f aca="true">IF(D129="TEM PERFIL",IFERROR(IF(ISNUMBER(E129),E129-TODAY(),DATE(VALUE(RIGHT(E129,4)),VALUE(MID(E129,4,2)),VALUE(LEFT(E129,2)))-TODAY())+ROW()/100000,9999999+ROW()/100000),9999999+ROW()/100000)</f>
        <v>9999999.00129</v>
      </c>
    </row>
    <row r="130" customFormat="false" ht="15" hidden="false" customHeight="true" outlineLevel="0" collapsed="false">
      <c r="A130" s="1" t="s">
        <v>305</v>
      </c>
      <c r="B130" s="1" t="n">
        <f aca="false">FUNCIONARIOS!B14</f>
        <v>0</v>
      </c>
      <c r="C130" s="1" t="n">
        <f aca="false">FUNCIONARIOS!C14</f>
        <v>0</v>
      </c>
      <c r="D130" s="1" t="n">
        <f aca="false">FUNCIONARIOS!D14</f>
        <v>0</v>
      </c>
      <c r="E130" s="51" t="n">
        <f aca="false">FUNCIONARIOS!E14</f>
        <v>0</v>
      </c>
      <c r="F130" s="1" t="str">
        <f aca="true">IFERROR(IF(ISNUMBER(E130),E130-TODAY(),DATE(VALUE(RIGHT(E130,4)),VALUE(MID(E130,4,2)),VALUE(LEFT(E130,2)))-TODAY()),"—")</f>
        <v>—</v>
      </c>
      <c r="G130" s="1" t="n">
        <f aca="true">IF(D130="TEM PERFIL",IFERROR(IF(ISNUMBER(E130),E130-TODAY(),DATE(VALUE(RIGHT(E130,4)),VALUE(MID(E130,4,2)),VALUE(LEFT(E130,2)))-TODAY())+ROW()/100000,9999999+ROW()/100000),9999999+ROW()/100000)</f>
        <v>9999999.0013</v>
      </c>
    </row>
    <row r="131" customFormat="false" ht="15" hidden="false" customHeight="true" outlineLevel="0" collapsed="false">
      <c r="A131" s="1" t="s">
        <v>305</v>
      </c>
      <c r="B131" s="1" t="n">
        <f aca="false">FUNCIONARIOS!B15</f>
        <v>0</v>
      </c>
      <c r="C131" s="1" t="n">
        <f aca="false">FUNCIONARIOS!C15</f>
        <v>0</v>
      </c>
      <c r="D131" s="1" t="n">
        <f aca="false">FUNCIONARIOS!D15</f>
        <v>0</v>
      </c>
      <c r="E131" s="51" t="n">
        <f aca="false">FUNCIONARIOS!E15</f>
        <v>0</v>
      </c>
      <c r="F131" s="1" t="str">
        <f aca="true">IFERROR(IF(ISNUMBER(E131),E131-TODAY(),DATE(VALUE(RIGHT(E131,4)),VALUE(MID(E131,4,2)),VALUE(LEFT(E131,2)))-TODAY()),"—")</f>
        <v>—</v>
      </c>
      <c r="G131" s="1" t="n">
        <f aca="true">IF(D131="TEM PERFIL",IFERROR(IF(ISNUMBER(E131),E131-TODAY(),DATE(VALUE(RIGHT(E131,4)),VALUE(MID(E131,4,2)),VALUE(LEFT(E131,2)))-TODAY())+ROW()/100000,9999999+ROW()/100000),9999999+ROW()/100000)</f>
        <v>9999999.00131</v>
      </c>
    </row>
    <row r="132" customFormat="false" ht="15" hidden="false" customHeight="true" outlineLevel="0" collapsed="false">
      <c r="A132" s="1" t="s">
        <v>305</v>
      </c>
      <c r="B132" s="1" t="n">
        <f aca="false">FUNCIONARIOS!B16</f>
        <v>0</v>
      </c>
      <c r="C132" s="1" t="n">
        <f aca="false">FUNCIONARIOS!C16</f>
        <v>0</v>
      </c>
      <c r="D132" s="1" t="n">
        <f aca="false">FUNCIONARIOS!D16</f>
        <v>0</v>
      </c>
      <c r="E132" s="51" t="n">
        <f aca="false">FUNCIONARIOS!E16</f>
        <v>0</v>
      </c>
      <c r="F132" s="1" t="str">
        <f aca="true">IFERROR(IF(ISNUMBER(E132),E132-TODAY(),DATE(VALUE(RIGHT(E132,4)),VALUE(MID(E132,4,2)),VALUE(LEFT(E132,2)))-TODAY()),"—")</f>
        <v>—</v>
      </c>
      <c r="G132" s="1" t="n">
        <f aca="true">IF(D132="TEM PERFIL",IFERROR(IF(ISNUMBER(E132),E132-TODAY(),DATE(VALUE(RIGHT(E132,4)),VALUE(MID(E132,4,2)),VALUE(LEFT(E132,2)))-TODAY())+ROW()/100000,9999999+ROW()/100000),9999999+ROW()/100000)</f>
        <v>9999999.00132</v>
      </c>
    </row>
    <row r="133" customFormat="false" ht="15" hidden="false" customHeight="true" outlineLevel="0" collapsed="false">
      <c r="A133" s="1" t="s">
        <v>305</v>
      </c>
      <c r="B133" s="1" t="n">
        <f aca="false">FUNCIONARIOS!B17</f>
        <v>0</v>
      </c>
      <c r="C133" s="1" t="n">
        <f aca="false">FUNCIONARIOS!C17</f>
        <v>0</v>
      </c>
      <c r="D133" s="1" t="n">
        <f aca="false">FUNCIONARIOS!D17</f>
        <v>0</v>
      </c>
      <c r="E133" s="51" t="n">
        <f aca="false">FUNCIONARIOS!E17</f>
        <v>0</v>
      </c>
      <c r="F133" s="1" t="str">
        <f aca="true">IFERROR(IF(ISNUMBER(E133),E133-TODAY(),DATE(VALUE(RIGHT(E133,4)),VALUE(MID(E133,4,2)),VALUE(LEFT(E133,2)))-TODAY()),"—")</f>
        <v>—</v>
      </c>
      <c r="G133" s="1" t="n">
        <f aca="true">IF(D133="TEM PERFIL",IFERROR(IF(ISNUMBER(E133),E133-TODAY(),DATE(VALUE(RIGHT(E133,4)),VALUE(MID(E133,4,2)),VALUE(LEFT(E133,2)))-TODAY())+ROW()/100000,9999999+ROW()/100000),9999999+ROW()/100000)</f>
        <v>9999999.00133</v>
      </c>
    </row>
    <row r="134" customFormat="false" ht="15" hidden="false" customHeight="true" outlineLevel="0" collapsed="false">
      <c r="A134" s="1" t="s">
        <v>305</v>
      </c>
      <c r="B134" s="1" t="n">
        <f aca="false">FUNCIONARIOS!B18</f>
        <v>0</v>
      </c>
      <c r="C134" s="1" t="n">
        <f aca="false">FUNCIONARIOS!C18</f>
        <v>0</v>
      </c>
      <c r="D134" s="1" t="n">
        <f aca="false">FUNCIONARIOS!D18</f>
        <v>0</v>
      </c>
      <c r="E134" s="51" t="n">
        <f aca="false">FUNCIONARIOS!E18</f>
        <v>0</v>
      </c>
      <c r="F134" s="1" t="str">
        <f aca="true">IFERROR(IF(ISNUMBER(E134),E134-TODAY(),DATE(VALUE(RIGHT(E134,4)),VALUE(MID(E134,4,2)),VALUE(LEFT(E134,2)))-TODAY()),"—")</f>
        <v>—</v>
      </c>
      <c r="G134" s="1" t="n">
        <f aca="true">IF(D134="TEM PERFIL",IFERROR(IF(ISNUMBER(E134),E134-TODAY(),DATE(VALUE(RIGHT(E134,4)),VALUE(MID(E134,4,2)),VALUE(LEFT(E134,2)))-TODAY())+ROW()/100000,9999999+ROW()/100000),9999999+ROW()/100000)</f>
        <v>9999999.00134</v>
      </c>
    </row>
    <row r="135" customFormat="false" ht="15" hidden="false" customHeight="true" outlineLevel="0" collapsed="false">
      <c r="A135" s="1" t="s">
        <v>305</v>
      </c>
      <c r="B135" s="1" t="n">
        <f aca="false">FUNCIONARIOS!B19</f>
        <v>0</v>
      </c>
      <c r="C135" s="1" t="n">
        <f aca="false">FUNCIONARIOS!C19</f>
        <v>0</v>
      </c>
      <c r="D135" s="1" t="n">
        <f aca="false">FUNCIONARIOS!D19</f>
        <v>0</v>
      </c>
      <c r="E135" s="51" t="n">
        <f aca="false">FUNCIONARIOS!E19</f>
        <v>0</v>
      </c>
      <c r="F135" s="1" t="str">
        <f aca="true">IFERROR(IF(ISNUMBER(E135),E135-TODAY(),DATE(VALUE(RIGHT(E135,4)),VALUE(MID(E135,4,2)),VALUE(LEFT(E135,2)))-TODAY()),"—")</f>
        <v>—</v>
      </c>
      <c r="G135" s="1" t="n">
        <f aca="true">IF(D135="TEM PERFIL",IFERROR(IF(ISNUMBER(E135),E135-TODAY(),DATE(VALUE(RIGHT(E135,4)),VALUE(MID(E135,4,2)),VALUE(LEFT(E135,2)))-TODAY())+ROW()/100000,9999999+ROW()/100000),9999999+ROW()/100000)</f>
        <v>9999999.00135</v>
      </c>
    </row>
    <row r="136" customFormat="false" ht="15" hidden="false" customHeight="true" outlineLevel="0" collapsed="false">
      <c r="A136" s="1" t="s">
        <v>305</v>
      </c>
      <c r="B136" s="1" t="n">
        <f aca="false">FUNCIONARIOS!B20</f>
        <v>0</v>
      </c>
      <c r="C136" s="1" t="n">
        <f aca="false">FUNCIONARIOS!C20</f>
        <v>0</v>
      </c>
      <c r="D136" s="1" t="n">
        <f aca="false">FUNCIONARIOS!D20</f>
        <v>0</v>
      </c>
      <c r="E136" s="51" t="n">
        <f aca="false">FUNCIONARIOS!E20</f>
        <v>0</v>
      </c>
      <c r="F136" s="1" t="str">
        <f aca="true">IFERROR(IF(ISNUMBER(E136),E136-TODAY(),DATE(VALUE(RIGHT(E136,4)),VALUE(MID(E136,4,2)),VALUE(LEFT(E136,2)))-TODAY()),"—")</f>
        <v>—</v>
      </c>
      <c r="G136" s="1" t="n">
        <f aca="true">IF(D136="TEM PERFIL",IFERROR(IF(ISNUMBER(E136),E136-TODAY(),DATE(VALUE(RIGHT(E136,4)),VALUE(MID(E136,4,2)),VALUE(LEFT(E136,2)))-TODAY())+ROW()/100000,9999999+ROW()/100000),9999999+ROW()/100000)</f>
        <v>9999999.00136</v>
      </c>
    </row>
    <row r="137" customFormat="false" ht="15.75" hidden="false" customHeight="true" outlineLevel="0" collapsed="false"/>
    <row r="138" customFormat="false" ht="15.75" hidden="false" customHeight="true" outlineLevel="0" collapsed="false"/>
    <row r="139" customFormat="false" ht="15.75" hidden="false" customHeight="true" outlineLevel="0" collapsed="false"/>
    <row r="140" customFormat="false" ht="15.75" hidden="false" customHeight="true" outlineLevel="0" collapsed="false"/>
    <row r="141" customFormat="false" ht="15.75" hidden="false" customHeight="true" outlineLevel="0" collapsed="false"/>
    <row r="142" customFormat="false" ht="15.75" hidden="false" customHeight="true" outlineLevel="0" collapsed="false"/>
    <row r="143" customFormat="false" ht="15.75" hidden="false" customHeight="true" outlineLevel="0" collapsed="false"/>
    <row r="144" customFormat="false" ht="15.75" hidden="false" customHeight="true" outlineLevel="0" collapsed="false"/>
    <row r="145" customFormat="false" ht="15.75" hidden="false" customHeight="true" outlineLevel="0" collapsed="false"/>
    <row r="146" customFormat="false" ht="15.75" hidden="false" customHeight="true" outlineLevel="0" collapsed="false"/>
    <row r="147" customFormat="false" ht="15.75" hidden="false" customHeight="true" outlineLevel="0" collapsed="false"/>
    <row r="148" customFormat="false" ht="15.75" hidden="false" customHeight="true" outlineLevel="0" collapsed="false"/>
    <row r="149" customFormat="false" ht="15.75" hidden="false" customHeight="true" outlineLevel="0" collapsed="false"/>
    <row r="150" customFormat="false" ht="15.75" hidden="false" customHeight="true" outlineLevel="0" collapsed="false"/>
    <row r="151" customFormat="false" ht="15.75" hidden="false" customHeight="true" outlineLevel="0" collapsed="false"/>
    <row r="152" customFormat="false" ht="15.75" hidden="false" customHeight="true" outlineLevel="0" collapsed="false"/>
    <row r="153" customFormat="false" ht="15.75" hidden="false" customHeight="true" outlineLevel="0" collapsed="false"/>
    <row r="154" customFormat="false" ht="15.75" hidden="false" customHeight="true" outlineLevel="0" collapsed="false"/>
    <row r="155" customFormat="false" ht="15.75" hidden="false" customHeight="true" outlineLevel="0" collapsed="false"/>
    <row r="156" customFormat="false" ht="15.75" hidden="false" customHeight="true" outlineLevel="0" collapsed="false"/>
    <row r="157" customFormat="false" ht="15.75" hidden="false" customHeight="true" outlineLevel="0" collapsed="false"/>
    <row r="158" customFormat="false" ht="15.75" hidden="false" customHeight="true" outlineLevel="0" collapsed="false"/>
    <row r="159" customFormat="false" ht="15.75" hidden="false" customHeight="true" outlineLevel="0" collapsed="false"/>
    <row r="160" customFormat="false" ht="15.75" hidden="false" customHeight="true" outlineLevel="0" collapsed="false"/>
    <row r="161" customFormat="false" ht="15.75" hidden="false" customHeight="true" outlineLevel="0" collapsed="false"/>
    <row r="162" customFormat="false" ht="15.75" hidden="false" customHeight="true" outlineLevel="0" collapsed="false"/>
    <row r="163" customFormat="false" ht="15.75" hidden="false" customHeight="true" outlineLevel="0" collapsed="false"/>
    <row r="164" customFormat="false" ht="15.75" hidden="false" customHeight="true" outlineLevel="0" collapsed="false"/>
    <row r="165" customFormat="false" ht="15.75" hidden="false" customHeight="true" outlineLevel="0" collapsed="false"/>
    <row r="166" customFormat="false" ht="15.75" hidden="false" customHeight="true" outlineLevel="0" collapsed="false"/>
    <row r="167" customFormat="false" ht="15.75" hidden="false" customHeight="true" outlineLevel="0" collapsed="false"/>
    <row r="168" customFormat="false" ht="15.75" hidden="false" customHeight="true" outlineLevel="0" collapsed="false"/>
    <row r="169" customFormat="false" ht="15.75" hidden="false" customHeight="true" outlineLevel="0" collapsed="false"/>
    <row r="170" customFormat="false" ht="15.75" hidden="false" customHeight="true" outlineLevel="0" collapsed="false"/>
    <row r="171" customFormat="false" ht="15.75" hidden="false" customHeight="true" outlineLevel="0" collapsed="false"/>
    <row r="172" customFormat="false" ht="15.75" hidden="false" customHeight="true" outlineLevel="0" collapsed="false"/>
    <row r="173" customFormat="false" ht="15.75" hidden="false" customHeight="true" outlineLevel="0" collapsed="false"/>
    <row r="174" customFormat="false" ht="15.75" hidden="false" customHeight="true" outlineLevel="0" collapsed="false"/>
    <row r="175" customFormat="false" ht="15.75" hidden="false" customHeight="true" outlineLevel="0" collapsed="false"/>
    <row r="176" customFormat="false" ht="15.75" hidden="false" customHeight="true" outlineLevel="0" collapsed="false"/>
    <row r="177" customFormat="false" ht="15.75" hidden="false" customHeight="true" outlineLevel="0" collapsed="false"/>
    <row r="178" customFormat="false" ht="15.75" hidden="false" customHeight="true" outlineLevel="0" collapsed="false"/>
    <row r="179" customFormat="false" ht="15.75" hidden="false" customHeight="true" outlineLevel="0" collapsed="false"/>
    <row r="180" customFormat="false" ht="15.75" hidden="false" customHeight="true" outlineLevel="0" collapsed="false"/>
    <row r="181" customFormat="false" ht="15.75" hidden="false" customHeight="true" outlineLevel="0" collapsed="false"/>
    <row r="182" customFormat="false" ht="15.75" hidden="false" customHeight="true" outlineLevel="0" collapsed="false"/>
    <row r="183" customFormat="false" ht="15.75" hidden="false" customHeight="true" outlineLevel="0" collapsed="false"/>
    <row r="184" customFormat="false" ht="15.75" hidden="false" customHeight="true" outlineLevel="0" collapsed="false"/>
    <row r="185" customFormat="false" ht="15.75" hidden="false" customHeight="true" outlineLevel="0" collapsed="false"/>
    <row r="186" customFormat="false" ht="15.75" hidden="false" customHeight="true" outlineLevel="0" collapsed="false"/>
    <row r="187" customFormat="false" ht="15.75" hidden="false" customHeight="true" outlineLevel="0" collapsed="false"/>
    <row r="188" customFormat="false" ht="15.75" hidden="false" customHeight="true" outlineLevel="0" collapsed="false"/>
    <row r="189" customFormat="false" ht="15.75" hidden="false" customHeight="true" outlineLevel="0" collapsed="false"/>
    <row r="190" customFormat="false" ht="15.75" hidden="false" customHeight="true" outlineLevel="0" collapsed="false"/>
    <row r="191" customFormat="false" ht="15.75" hidden="false" customHeight="true" outlineLevel="0" collapsed="false"/>
    <row r="192" customFormat="false" ht="15.75" hidden="false" customHeight="true" outlineLevel="0" collapsed="false"/>
    <row r="193" customFormat="false" ht="15.75" hidden="false" customHeight="true" outlineLevel="0" collapsed="false"/>
    <row r="194" customFormat="false" ht="15.75" hidden="false" customHeight="true" outlineLevel="0" collapsed="false"/>
    <row r="195" customFormat="false" ht="15.75" hidden="false" customHeight="true" outlineLevel="0" collapsed="false"/>
    <row r="196" customFormat="false" ht="15.75" hidden="false" customHeight="true" outlineLevel="0" collapsed="false"/>
    <row r="197" customFormat="false" ht="15.75" hidden="false" customHeight="true" outlineLevel="0" collapsed="false"/>
    <row r="198" customFormat="false" ht="15.75" hidden="false" customHeight="true" outlineLevel="0" collapsed="false"/>
    <row r="199" customFormat="false" ht="15.75" hidden="false" customHeight="true" outlineLevel="0" collapsed="false"/>
    <row r="200" customFormat="false" ht="15.75" hidden="false" customHeight="true" outlineLevel="0" collapsed="false"/>
    <row r="201" customFormat="false" ht="15.75" hidden="false" customHeight="true" outlineLevel="0" collapsed="false"/>
    <row r="202" customFormat="false" ht="15.75" hidden="false" customHeight="true" outlineLevel="0" collapsed="false"/>
    <row r="203" customFormat="false" ht="15.75" hidden="false" customHeight="true" outlineLevel="0" collapsed="false"/>
    <row r="204" customFormat="false" ht="15.75" hidden="false" customHeight="true" outlineLevel="0" collapsed="false"/>
    <row r="205" customFormat="false" ht="15.75" hidden="false" customHeight="true" outlineLevel="0" collapsed="false"/>
    <row r="206" customFormat="false" ht="15.75" hidden="false" customHeight="true" outlineLevel="0" collapsed="false"/>
    <row r="207" customFormat="false" ht="15.75" hidden="false" customHeight="true" outlineLevel="0" collapsed="false"/>
    <row r="208" customFormat="false" ht="15.75" hidden="false" customHeight="true" outlineLevel="0" collapsed="false"/>
    <row r="209" customFormat="false" ht="15.75" hidden="false" customHeight="true" outlineLevel="0" collapsed="false"/>
    <row r="210" customFormat="false" ht="15.75" hidden="false" customHeight="true" outlineLevel="0" collapsed="false"/>
    <row r="211" customFormat="false" ht="15.75" hidden="false" customHeight="true" outlineLevel="0" collapsed="false"/>
    <row r="212" customFormat="false" ht="15.75" hidden="false" customHeight="true" outlineLevel="0" collapsed="false"/>
    <row r="213" customFormat="false" ht="15.75" hidden="false" customHeight="true" outlineLevel="0" collapsed="false"/>
    <row r="214" customFormat="false" ht="15.75" hidden="false" customHeight="true" outlineLevel="0" collapsed="false"/>
    <row r="215" customFormat="false" ht="15.75" hidden="false" customHeight="true" outlineLevel="0" collapsed="false"/>
    <row r="216" customFormat="false" ht="15.75" hidden="false" customHeight="true" outlineLevel="0" collapsed="false"/>
    <row r="217" customFormat="false" ht="15.75" hidden="false" customHeight="true" outlineLevel="0" collapsed="false"/>
    <row r="218" customFormat="false" ht="15.75" hidden="false" customHeight="true" outlineLevel="0" collapsed="false"/>
    <row r="219" customFormat="false" ht="15.75" hidden="false" customHeight="true" outlineLevel="0" collapsed="false"/>
    <row r="220" customFormat="false" ht="15.75" hidden="false" customHeight="true" outlineLevel="0" collapsed="false"/>
    <row r="221" customFormat="false" ht="15.75" hidden="false" customHeight="true" outlineLevel="0" collapsed="false"/>
    <row r="222" customFormat="false" ht="15.75" hidden="false" customHeight="true" outlineLevel="0" collapsed="false"/>
    <row r="223" customFormat="false" ht="15.75" hidden="false" customHeight="true" outlineLevel="0" collapsed="false"/>
    <row r="224" customFormat="false" ht="15.75" hidden="false" customHeight="true" outlineLevel="0" collapsed="false"/>
    <row r="225" customFormat="false" ht="15.75" hidden="false" customHeight="true" outlineLevel="0" collapsed="false"/>
    <row r="226" customFormat="false" ht="15.75" hidden="false" customHeight="true" outlineLevel="0" collapsed="false"/>
    <row r="227" customFormat="false" ht="15.75" hidden="false" customHeight="true" outlineLevel="0" collapsed="false"/>
    <row r="228" customFormat="false" ht="15.75" hidden="false" customHeight="true" outlineLevel="0" collapsed="false"/>
    <row r="229" customFormat="false" ht="15.75" hidden="false" customHeight="true" outlineLevel="0" collapsed="false"/>
    <row r="230" customFormat="false" ht="15.75" hidden="false" customHeight="true" outlineLevel="0" collapsed="false"/>
    <row r="231" customFormat="false" ht="15.75" hidden="false" customHeight="true" outlineLevel="0" collapsed="false"/>
    <row r="232" customFormat="false" ht="15.75" hidden="false" customHeight="true" outlineLevel="0" collapsed="false"/>
    <row r="233" customFormat="false" ht="15.75" hidden="false" customHeight="true" outlineLevel="0" collapsed="false"/>
    <row r="234" customFormat="false" ht="15.75" hidden="false" customHeight="true" outlineLevel="0" collapsed="false"/>
    <row r="235" customFormat="false" ht="15.75" hidden="false" customHeight="true" outlineLevel="0" collapsed="false"/>
    <row r="236" customFormat="false" ht="15.75" hidden="false" customHeight="true" outlineLevel="0" collapsed="false"/>
    <row r="237" customFormat="false" ht="15.75" hidden="false" customHeight="true" outlineLevel="0" collapsed="false"/>
    <row r="238" customFormat="false" ht="15.75" hidden="false" customHeight="true" outlineLevel="0" collapsed="false"/>
    <row r="239" customFormat="false" ht="15.75" hidden="false" customHeight="true" outlineLevel="0" collapsed="false"/>
    <row r="240" customFormat="false" ht="15.75" hidden="false" customHeight="true" outlineLevel="0" collapsed="false"/>
    <row r="241" customFormat="false" ht="15.75" hidden="false" customHeight="true" outlineLevel="0" collapsed="false"/>
    <row r="242" customFormat="false" ht="15.75" hidden="false" customHeight="true" outlineLevel="0" collapsed="false"/>
    <row r="243" customFormat="false" ht="15.75" hidden="false" customHeight="true" outlineLevel="0" collapsed="false"/>
    <row r="244" customFormat="false" ht="15.75" hidden="false" customHeight="true" outlineLevel="0" collapsed="false"/>
    <row r="245" customFormat="false" ht="15.75" hidden="false" customHeight="true" outlineLevel="0" collapsed="false"/>
    <row r="246" customFormat="false" ht="15.75" hidden="false" customHeight="true" outlineLevel="0" collapsed="false"/>
    <row r="247" customFormat="false" ht="15.75" hidden="false" customHeight="true" outlineLevel="0" collapsed="false"/>
    <row r="248" customFormat="false" ht="15.75" hidden="false" customHeight="true" outlineLevel="0" collapsed="false"/>
    <row r="249" customFormat="false" ht="15.75" hidden="false" customHeight="true" outlineLevel="0" collapsed="false"/>
    <row r="250" customFormat="false" ht="15.75" hidden="false" customHeight="true" outlineLevel="0" collapsed="false"/>
    <row r="251" customFormat="false" ht="15.75" hidden="false" customHeight="true" outlineLevel="0" collapsed="false"/>
    <row r="252" customFormat="false" ht="15.75" hidden="false" customHeight="true" outlineLevel="0" collapsed="false"/>
    <row r="253" customFormat="false" ht="15.75" hidden="false" customHeight="true" outlineLevel="0" collapsed="false"/>
    <row r="254" customFormat="false" ht="15.75" hidden="false" customHeight="true" outlineLevel="0" collapsed="false"/>
    <row r="255" customFormat="false" ht="15.75" hidden="false" customHeight="true" outlineLevel="0" collapsed="false"/>
    <row r="256" customFormat="false" ht="15.75" hidden="false" customHeight="true" outlineLevel="0" collapsed="false"/>
    <row r="257" customFormat="false" ht="15.75" hidden="false" customHeight="true" outlineLevel="0" collapsed="false"/>
    <row r="258" customFormat="false" ht="15.75" hidden="false" customHeight="true" outlineLevel="0" collapsed="false"/>
    <row r="259" customFormat="false" ht="15.75" hidden="false" customHeight="true" outlineLevel="0" collapsed="false"/>
    <row r="260" customFormat="false" ht="15.75" hidden="false" customHeight="true" outlineLevel="0" collapsed="false"/>
    <row r="261" customFormat="false" ht="15.75" hidden="false" customHeight="true" outlineLevel="0" collapsed="false"/>
    <row r="262" customFormat="false" ht="15.75" hidden="false" customHeight="true" outlineLevel="0" collapsed="false"/>
    <row r="263" customFormat="false" ht="15.75" hidden="false" customHeight="true" outlineLevel="0" collapsed="false"/>
    <row r="264" customFormat="false" ht="15.75" hidden="false" customHeight="true" outlineLevel="0" collapsed="false"/>
    <row r="265" customFormat="false" ht="15.75" hidden="false" customHeight="true" outlineLevel="0" collapsed="false"/>
    <row r="266" customFormat="false" ht="15.75" hidden="false" customHeight="true" outlineLevel="0" collapsed="false"/>
    <row r="267" customFormat="false" ht="15.75" hidden="false" customHeight="true" outlineLevel="0" collapsed="false"/>
    <row r="268" customFormat="false" ht="15.75" hidden="false" customHeight="true" outlineLevel="0" collapsed="false"/>
    <row r="269" customFormat="false" ht="15.75" hidden="false" customHeight="true" outlineLevel="0" collapsed="false"/>
    <row r="270" customFormat="false" ht="15.75" hidden="false" customHeight="true" outlineLevel="0" collapsed="false"/>
    <row r="271" customFormat="false" ht="15.75" hidden="false" customHeight="true" outlineLevel="0" collapsed="false"/>
    <row r="272" customFormat="false" ht="15.75" hidden="false" customHeight="true" outlineLevel="0" collapsed="false"/>
    <row r="273" customFormat="false" ht="15.75" hidden="false" customHeight="true" outlineLevel="0" collapsed="false"/>
    <row r="274" customFormat="false" ht="15.75" hidden="false" customHeight="true" outlineLevel="0" collapsed="false"/>
    <row r="275" customFormat="false" ht="15.75" hidden="false" customHeight="true" outlineLevel="0" collapsed="false"/>
    <row r="276" customFormat="false" ht="15.75" hidden="false" customHeight="true" outlineLevel="0" collapsed="false"/>
    <row r="277" customFormat="false" ht="15.75" hidden="false" customHeight="true" outlineLevel="0" collapsed="false"/>
    <row r="278" customFormat="false" ht="15.75" hidden="false" customHeight="true" outlineLevel="0" collapsed="false"/>
    <row r="279" customFormat="false" ht="15.75" hidden="false" customHeight="true" outlineLevel="0" collapsed="false"/>
    <row r="280" customFormat="false" ht="15.75" hidden="false" customHeight="true" outlineLevel="0" collapsed="false"/>
    <row r="281" customFormat="false" ht="15.75" hidden="false" customHeight="true" outlineLevel="0" collapsed="false"/>
    <row r="282" customFormat="false" ht="15.75" hidden="false" customHeight="true" outlineLevel="0" collapsed="false"/>
    <row r="283" customFormat="false" ht="15.75" hidden="false" customHeight="true" outlineLevel="0" collapsed="false"/>
    <row r="284" customFormat="false" ht="15.75" hidden="false" customHeight="true" outlineLevel="0" collapsed="false"/>
    <row r="285" customFormat="false" ht="15.75" hidden="false" customHeight="true" outlineLevel="0" collapsed="false"/>
    <row r="286" customFormat="false" ht="15.75" hidden="false" customHeight="true" outlineLevel="0" collapsed="false"/>
    <row r="287" customFormat="false" ht="15.75" hidden="false" customHeight="true" outlineLevel="0" collapsed="false"/>
    <row r="288" customFormat="false" ht="15.75" hidden="false" customHeight="true" outlineLevel="0" collapsed="false"/>
    <row r="289" customFormat="false" ht="15.75" hidden="false" customHeight="true" outlineLevel="0" collapsed="false"/>
    <row r="290" customFormat="false" ht="15.75" hidden="false" customHeight="true" outlineLevel="0" collapsed="false"/>
    <row r="291" customFormat="false" ht="15.75" hidden="false" customHeight="true" outlineLevel="0" collapsed="false"/>
    <row r="292" customFormat="false" ht="15.75" hidden="false" customHeight="true" outlineLevel="0" collapsed="false"/>
    <row r="293" customFormat="false" ht="15.75" hidden="false" customHeight="true" outlineLevel="0" collapsed="false"/>
    <row r="294" customFormat="false" ht="15.75" hidden="false" customHeight="true" outlineLevel="0" collapsed="false"/>
    <row r="295" customFormat="false" ht="15.75" hidden="false" customHeight="true" outlineLevel="0" collapsed="false"/>
    <row r="296" customFormat="false" ht="15.75" hidden="false" customHeight="true" outlineLevel="0" collapsed="false"/>
    <row r="297" customFormat="false" ht="15.75" hidden="false" customHeight="true" outlineLevel="0" collapsed="false"/>
    <row r="298" customFormat="false" ht="15.75" hidden="false" customHeight="true" outlineLevel="0" collapsed="false"/>
    <row r="299" customFormat="false" ht="15.75" hidden="false" customHeight="true" outlineLevel="0" collapsed="false"/>
    <row r="300" customFormat="false" ht="15.75" hidden="false" customHeight="true" outlineLevel="0" collapsed="false"/>
    <row r="301" customFormat="false" ht="15.75" hidden="false" customHeight="true" outlineLevel="0" collapsed="false"/>
    <row r="302" customFormat="false" ht="15.75" hidden="false" customHeight="true" outlineLevel="0" collapsed="false"/>
    <row r="303" customFormat="false" ht="15.75" hidden="false" customHeight="true" outlineLevel="0" collapsed="false"/>
    <row r="304" customFormat="false" ht="15.75" hidden="false" customHeight="true" outlineLevel="0" collapsed="false"/>
    <row r="305" customFormat="false" ht="15.75" hidden="false" customHeight="true" outlineLevel="0" collapsed="false"/>
    <row r="306" customFormat="false" ht="15.75" hidden="false" customHeight="true" outlineLevel="0" collapsed="false"/>
    <row r="307" customFormat="false" ht="15.75" hidden="false" customHeight="true" outlineLevel="0" collapsed="false"/>
    <row r="308" customFormat="false" ht="15.75" hidden="false" customHeight="true" outlineLevel="0" collapsed="false"/>
    <row r="309" customFormat="false" ht="15.75" hidden="false" customHeight="true" outlineLevel="0" collapsed="false"/>
    <row r="310" customFormat="false" ht="15.75" hidden="false" customHeight="true" outlineLevel="0" collapsed="false"/>
    <row r="311" customFormat="false" ht="15.75" hidden="false" customHeight="true" outlineLevel="0" collapsed="false"/>
    <row r="312" customFormat="false" ht="15.75" hidden="false" customHeight="true" outlineLevel="0" collapsed="false"/>
    <row r="313" customFormat="false" ht="15.75" hidden="false" customHeight="true" outlineLevel="0" collapsed="false"/>
    <row r="314" customFormat="false" ht="15.75" hidden="false" customHeight="true" outlineLevel="0" collapsed="false"/>
    <row r="315" customFormat="false" ht="15.75" hidden="false" customHeight="true" outlineLevel="0" collapsed="false"/>
    <row r="316" customFormat="false" ht="15.75" hidden="false" customHeight="true" outlineLevel="0" collapsed="false"/>
    <row r="317" customFormat="false" ht="15.75" hidden="false" customHeight="true" outlineLevel="0" collapsed="false"/>
    <row r="318" customFormat="false" ht="15.75" hidden="false" customHeight="true" outlineLevel="0" collapsed="false"/>
    <row r="319" customFormat="false" ht="15.75" hidden="false" customHeight="true" outlineLevel="0" collapsed="false"/>
    <row r="320" customFormat="false" ht="15.75" hidden="false" customHeight="true" outlineLevel="0" collapsed="false"/>
    <row r="321" customFormat="false" ht="15.75" hidden="false" customHeight="true" outlineLevel="0" collapsed="false"/>
    <row r="322" customFormat="false" ht="15.75" hidden="false" customHeight="true" outlineLevel="0" collapsed="false"/>
    <row r="323" customFormat="false" ht="15.75" hidden="false" customHeight="true" outlineLevel="0" collapsed="false"/>
    <row r="324" customFormat="false" ht="15.75" hidden="false" customHeight="true" outlineLevel="0" collapsed="false"/>
    <row r="325" customFormat="false" ht="15.75" hidden="false" customHeight="true" outlineLevel="0" collapsed="false"/>
    <row r="326" customFormat="false" ht="15.75" hidden="false" customHeight="true" outlineLevel="0" collapsed="false"/>
    <row r="327" customFormat="false" ht="15.75" hidden="false" customHeight="true" outlineLevel="0" collapsed="false"/>
    <row r="328" customFormat="false" ht="15.75" hidden="false" customHeight="true" outlineLevel="0" collapsed="false"/>
    <row r="329" customFormat="false" ht="15.75" hidden="false" customHeight="true" outlineLevel="0" collapsed="false"/>
    <row r="330" customFormat="false" ht="15.75" hidden="false" customHeight="true" outlineLevel="0" collapsed="false"/>
    <row r="331" customFormat="false" ht="15.75" hidden="false" customHeight="true" outlineLevel="0" collapsed="false"/>
    <row r="332" customFormat="false" ht="15.75" hidden="false" customHeight="true" outlineLevel="0" collapsed="false"/>
    <row r="333" customFormat="false" ht="15.75" hidden="false" customHeight="true" outlineLevel="0" collapsed="false"/>
    <row r="334" customFormat="false" ht="15.75" hidden="false" customHeight="true" outlineLevel="0" collapsed="false"/>
    <row r="335" customFormat="false" ht="15.75" hidden="false" customHeight="true" outlineLevel="0" collapsed="false"/>
    <row r="336" customFormat="false" ht="15.75" hidden="false" customHeight="true" outlineLevel="0" collapsed="false"/>
    <row r="337" customFormat="false" ht="15.75" hidden="false" customHeight="true" outlineLevel="0" collapsed="false"/>
    <row r="338" customFormat="false" ht="15.75" hidden="false" customHeight="true" outlineLevel="0" collapsed="false"/>
    <row r="339" customFormat="false" ht="15.75" hidden="false" customHeight="true" outlineLevel="0" collapsed="false"/>
    <row r="340" customFormat="false" ht="15.75" hidden="false" customHeight="true" outlineLevel="0" collapsed="false"/>
    <row r="341" customFormat="false" ht="15.75" hidden="false" customHeight="true" outlineLevel="0" collapsed="false"/>
    <row r="342" customFormat="false" ht="15.75" hidden="false" customHeight="true" outlineLevel="0" collapsed="false"/>
    <row r="343" customFormat="false" ht="15.75" hidden="false" customHeight="true" outlineLevel="0" collapsed="false"/>
    <row r="344" customFormat="false" ht="15.75" hidden="false" customHeight="true" outlineLevel="0" collapsed="false"/>
    <row r="345" customFormat="false" ht="15.75" hidden="false" customHeight="true" outlineLevel="0" collapsed="false"/>
    <row r="346" customFormat="false" ht="15.75" hidden="false" customHeight="true" outlineLevel="0" collapsed="false"/>
    <row r="347" customFormat="false" ht="15.75" hidden="false" customHeight="true" outlineLevel="0" collapsed="false"/>
    <row r="348" customFormat="false" ht="15.75" hidden="false" customHeight="true" outlineLevel="0" collapsed="false"/>
    <row r="349" customFormat="false" ht="15.75" hidden="false" customHeight="true" outlineLevel="0" collapsed="false"/>
    <row r="350" customFormat="false" ht="15.75" hidden="false" customHeight="true" outlineLevel="0" collapsed="false"/>
    <row r="351" customFormat="false" ht="15.75" hidden="false" customHeight="true" outlineLevel="0" collapsed="false"/>
    <row r="352" customFormat="false" ht="15.75" hidden="false" customHeight="true" outlineLevel="0" collapsed="false"/>
    <row r="353" customFormat="false" ht="15.75" hidden="false" customHeight="true" outlineLevel="0" collapsed="false"/>
    <row r="354" customFormat="false" ht="15.75" hidden="false" customHeight="true" outlineLevel="0" collapsed="false"/>
    <row r="355" customFormat="false" ht="15.75" hidden="false" customHeight="true" outlineLevel="0" collapsed="false"/>
    <row r="356" customFormat="false" ht="15.75" hidden="false" customHeight="true" outlineLevel="0" collapsed="false"/>
    <row r="357" customFormat="false" ht="15.75" hidden="false" customHeight="true" outlineLevel="0" collapsed="false"/>
    <row r="358" customFormat="false" ht="15.75" hidden="false" customHeight="true" outlineLevel="0" collapsed="false"/>
    <row r="359" customFormat="false" ht="15.75" hidden="false" customHeight="true" outlineLevel="0" collapsed="false"/>
    <row r="360" customFormat="false" ht="15.75" hidden="false" customHeight="true" outlineLevel="0" collapsed="false"/>
    <row r="361" customFormat="false" ht="15.75" hidden="false" customHeight="true" outlineLevel="0" collapsed="false"/>
    <row r="362" customFormat="false" ht="15.75" hidden="false" customHeight="true" outlineLevel="0" collapsed="false"/>
    <row r="363" customFormat="false" ht="15.75" hidden="false" customHeight="true" outlineLevel="0" collapsed="false"/>
    <row r="364" customFormat="false" ht="15.75" hidden="false" customHeight="true" outlineLevel="0" collapsed="false"/>
    <row r="365" customFormat="false" ht="15.75" hidden="false" customHeight="true" outlineLevel="0" collapsed="false"/>
    <row r="366" customFormat="false" ht="15.75" hidden="false" customHeight="true" outlineLevel="0" collapsed="false"/>
    <row r="367" customFormat="false" ht="15.75" hidden="false" customHeight="true" outlineLevel="0" collapsed="false"/>
    <row r="368" customFormat="false" ht="15.75" hidden="false" customHeight="true" outlineLevel="0" collapsed="false"/>
    <row r="369" customFormat="false" ht="15.75" hidden="false" customHeight="true" outlineLevel="0" collapsed="false"/>
    <row r="370" customFormat="false" ht="15.75" hidden="false" customHeight="true" outlineLevel="0" collapsed="false"/>
    <row r="371" customFormat="false" ht="15.75" hidden="false" customHeight="true" outlineLevel="0" collapsed="false"/>
    <row r="372" customFormat="false" ht="15.75" hidden="false" customHeight="true" outlineLevel="0" collapsed="false"/>
    <row r="373" customFormat="false" ht="15.75" hidden="false" customHeight="true" outlineLevel="0" collapsed="false"/>
    <row r="374" customFormat="false" ht="15.75" hidden="false" customHeight="true" outlineLevel="0" collapsed="false"/>
    <row r="375" customFormat="false" ht="15.75" hidden="false" customHeight="true" outlineLevel="0" collapsed="false"/>
    <row r="376" customFormat="false" ht="15.75" hidden="false" customHeight="true" outlineLevel="0" collapsed="false"/>
    <row r="377" customFormat="false" ht="15.75" hidden="false" customHeight="true" outlineLevel="0" collapsed="false"/>
    <row r="378" customFormat="false" ht="15.75" hidden="false" customHeight="true" outlineLevel="0" collapsed="false"/>
    <row r="379" customFormat="false" ht="15.75" hidden="false" customHeight="true" outlineLevel="0" collapsed="false"/>
    <row r="380" customFormat="false" ht="15.75" hidden="false" customHeight="true" outlineLevel="0" collapsed="false"/>
    <row r="381" customFormat="false" ht="15.75" hidden="false" customHeight="true" outlineLevel="0" collapsed="false"/>
    <row r="382" customFormat="false" ht="15.75" hidden="false" customHeight="true" outlineLevel="0" collapsed="false"/>
    <row r="383" customFormat="false" ht="15.75" hidden="false" customHeight="true" outlineLevel="0" collapsed="false"/>
    <row r="384" customFormat="false" ht="15.75" hidden="false" customHeight="true" outlineLevel="0" collapsed="false"/>
    <row r="385" customFormat="false" ht="15.75" hidden="false" customHeight="true" outlineLevel="0" collapsed="false"/>
    <row r="386" customFormat="false" ht="15.75" hidden="false" customHeight="true" outlineLevel="0" collapsed="false"/>
    <row r="387" customFormat="false" ht="15.75" hidden="false" customHeight="true" outlineLevel="0" collapsed="false"/>
    <row r="388" customFormat="false" ht="15.75" hidden="false" customHeight="true" outlineLevel="0" collapsed="false"/>
    <row r="389" customFormat="false" ht="15.75" hidden="false" customHeight="true" outlineLevel="0" collapsed="false"/>
    <row r="390" customFormat="false" ht="15.75" hidden="false" customHeight="true" outlineLevel="0" collapsed="false"/>
    <row r="391" customFormat="false" ht="15.75" hidden="false" customHeight="true" outlineLevel="0" collapsed="false"/>
    <row r="392" customFormat="false" ht="15.75" hidden="false" customHeight="true" outlineLevel="0" collapsed="false"/>
    <row r="393" customFormat="false" ht="15.75" hidden="false" customHeight="true" outlineLevel="0" collapsed="false"/>
    <row r="394" customFormat="false" ht="15.75" hidden="false" customHeight="true" outlineLevel="0" collapsed="false"/>
    <row r="395" customFormat="false" ht="15.75" hidden="false" customHeight="true" outlineLevel="0" collapsed="false"/>
    <row r="396" customFormat="false" ht="15.75" hidden="false" customHeight="true" outlineLevel="0" collapsed="false"/>
    <row r="397" customFormat="false" ht="15.75" hidden="false" customHeight="true" outlineLevel="0" collapsed="false"/>
    <row r="398" customFormat="false" ht="15.75" hidden="false" customHeight="true" outlineLevel="0" collapsed="false"/>
    <row r="399" customFormat="false" ht="15.75" hidden="false" customHeight="true" outlineLevel="0" collapsed="false"/>
    <row r="400" customFormat="false" ht="15.75" hidden="false" customHeight="true" outlineLevel="0" collapsed="false"/>
    <row r="401" customFormat="false" ht="15.75" hidden="false" customHeight="true" outlineLevel="0" collapsed="false"/>
    <row r="402" customFormat="false" ht="15.75" hidden="false" customHeight="true" outlineLevel="0" collapsed="false"/>
    <row r="403" customFormat="false" ht="15.75" hidden="false" customHeight="true" outlineLevel="0" collapsed="false"/>
    <row r="404" customFormat="false" ht="15.75" hidden="false" customHeight="true" outlineLevel="0" collapsed="false"/>
    <row r="405" customFormat="false" ht="15.75" hidden="false" customHeight="true" outlineLevel="0" collapsed="false"/>
    <row r="406" customFormat="false" ht="15.75" hidden="false" customHeight="true" outlineLevel="0" collapsed="false"/>
    <row r="407" customFormat="false" ht="15.75" hidden="false" customHeight="true" outlineLevel="0" collapsed="false"/>
    <row r="408" customFormat="false" ht="15.75" hidden="false" customHeight="true" outlineLevel="0" collapsed="false"/>
    <row r="409" customFormat="false" ht="15.75" hidden="false" customHeight="true" outlineLevel="0" collapsed="false"/>
    <row r="410" customFormat="false" ht="15.75" hidden="false" customHeight="true" outlineLevel="0" collapsed="false"/>
    <row r="411" customFormat="false" ht="15.75" hidden="false" customHeight="true" outlineLevel="0" collapsed="false"/>
    <row r="412" customFormat="false" ht="15.75" hidden="false" customHeight="true" outlineLevel="0" collapsed="false"/>
    <row r="413" customFormat="false" ht="15.75" hidden="false" customHeight="true" outlineLevel="0" collapsed="false"/>
    <row r="414" customFormat="false" ht="15.75" hidden="false" customHeight="true" outlineLevel="0" collapsed="false"/>
    <row r="415" customFormat="false" ht="15.75" hidden="false" customHeight="true" outlineLevel="0" collapsed="false"/>
    <row r="416" customFormat="false" ht="15.75" hidden="false" customHeight="true" outlineLevel="0" collapsed="false"/>
    <row r="417" customFormat="false" ht="15.75" hidden="false" customHeight="true" outlineLevel="0" collapsed="false"/>
    <row r="418" customFormat="false" ht="15.75" hidden="false" customHeight="true" outlineLevel="0" collapsed="false"/>
    <row r="419" customFormat="false" ht="15.75" hidden="false" customHeight="true" outlineLevel="0" collapsed="false"/>
    <row r="420" customFormat="false" ht="15.75" hidden="false" customHeight="true" outlineLevel="0" collapsed="false"/>
    <row r="421" customFormat="false" ht="15.75" hidden="false" customHeight="true" outlineLevel="0" collapsed="false"/>
    <row r="422" customFormat="false" ht="15.75" hidden="false" customHeight="true" outlineLevel="0" collapsed="false"/>
    <row r="423" customFormat="false" ht="15.75" hidden="false" customHeight="true" outlineLevel="0" collapsed="false"/>
    <row r="424" customFormat="false" ht="15.75" hidden="false" customHeight="true" outlineLevel="0" collapsed="false"/>
    <row r="425" customFormat="false" ht="15.75" hidden="false" customHeight="true" outlineLevel="0" collapsed="false"/>
    <row r="426" customFormat="false" ht="15.75" hidden="false" customHeight="true" outlineLevel="0" collapsed="false"/>
    <row r="427" customFormat="false" ht="15.75" hidden="false" customHeight="true" outlineLevel="0" collapsed="false"/>
    <row r="428" customFormat="false" ht="15.75" hidden="false" customHeight="true" outlineLevel="0" collapsed="false"/>
    <row r="429" customFormat="false" ht="15.75" hidden="false" customHeight="true" outlineLevel="0" collapsed="false"/>
    <row r="430" customFormat="false" ht="15.75" hidden="false" customHeight="true" outlineLevel="0" collapsed="false"/>
    <row r="431" customFormat="false" ht="15.75" hidden="false" customHeight="true" outlineLevel="0" collapsed="false"/>
    <row r="432" customFormat="false" ht="15.75" hidden="false" customHeight="true" outlineLevel="0" collapsed="false"/>
    <row r="433" customFormat="false" ht="15.75" hidden="false" customHeight="true" outlineLevel="0" collapsed="false"/>
    <row r="434" customFormat="false" ht="15.75" hidden="false" customHeight="true" outlineLevel="0" collapsed="false"/>
    <row r="435" customFormat="false" ht="15.75" hidden="false" customHeight="true" outlineLevel="0" collapsed="false"/>
    <row r="436" customFormat="false" ht="15.75" hidden="false" customHeight="true" outlineLevel="0" collapsed="false"/>
    <row r="437" customFormat="false" ht="15.75" hidden="false" customHeight="true" outlineLevel="0" collapsed="false"/>
    <row r="438" customFormat="false" ht="15.75" hidden="false" customHeight="true" outlineLevel="0" collapsed="false"/>
    <row r="439" customFormat="false" ht="15.75" hidden="false" customHeight="true" outlineLevel="0" collapsed="false"/>
    <row r="440" customFormat="false" ht="15.75" hidden="false" customHeight="true" outlineLevel="0" collapsed="false"/>
    <row r="441" customFormat="false" ht="15.75" hidden="false" customHeight="true" outlineLevel="0" collapsed="false"/>
    <row r="442" customFormat="false" ht="15.75" hidden="false" customHeight="true" outlineLevel="0" collapsed="false"/>
    <row r="443" customFormat="false" ht="15.75" hidden="false" customHeight="true" outlineLevel="0" collapsed="false"/>
    <row r="444" customFormat="false" ht="15.75" hidden="false" customHeight="true" outlineLevel="0" collapsed="false"/>
    <row r="445" customFormat="false" ht="15.75" hidden="false" customHeight="true" outlineLevel="0" collapsed="false"/>
    <row r="446" customFormat="false" ht="15.75" hidden="false" customHeight="true" outlineLevel="0" collapsed="false"/>
    <row r="447" customFormat="false" ht="15.75" hidden="false" customHeight="true" outlineLevel="0" collapsed="false"/>
    <row r="448" customFormat="false" ht="15.75" hidden="false" customHeight="true" outlineLevel="0" collapsed="false"/>
    <row r="449" customFormat="false" ht="15.75" hidden="false" customHeight="true" outlineLevel="0" collapsed="false"/>
    <row r="450" customFormat="false" ht="15.75" hidden="false" customHeight="true" outlineLevel="0" collapsed="false"/>
    <row r="451" customFormat="false" ht="15.75" hidden="false" customHeight="true" outlineLevel="0" collapsed="false"/>
    <row r="452" customFormat="false" ht="15.75" hidden="false" customHeight="true" outlineLevel="0" collapsed="false"/>
    <row r="453" customFormat="false" ht="15.75" hidden="false" customHeight="true" outlineLevel="0" collapsed="false"/>
    <row r="454" customFormat="false" ht="15.75" hidden="false" customHeight="true" outlineLevel="0" collapsed="false"/>
    <row r="455" customFormat="false" ht="15.75" hidden="false" customHeight="true" outlineLevel="0" collapsed="false"/>
    <row r="456" customFormat="false" ht="15.75" hidden="false" customHeight="true" outlineLevel="0" collapsed="false"/>
    <row r="457" customFormat="false" ht="15.75" hidden="false" customHeight="true" outlineLevel="0" collapsed="false"/>
    <row r="458" customFormat="false" ht="15.75" hidden="false" customHeight="true" outlineLevel="0" collapsed="false"/>
    <row r="459" customFormat="false" ht="15.75" hidden="false" customHeight="true" outlineLevel="0" collapsed="false"/>
    <row r="460" customFormat="false" ht="15.75" hidden="false" customHeight="true" outlineLevel="0" collapsed="false"/>
    <row r="461" customFormat="false" ht="15.75" hidden="false" customHeight="true" outlineLevel="0" collapsed="false"/>
    <row r="462" customFormat="false" ht="15.75" hidden="false" customHeight="true" outlineLevel="0" collapsed="false"/>
    <row r="463" customFormat="false" ht="15.75" hidden="false" customHeight="true" outlineLevel="0" collapsed="false"/>
    <row r="464" customFormat="false" ht="15.75" hidden="false" customHeight="true" outlineLevel="0" collapsed="false"/>
    <row r="465" customFormat="false" ht="15.75" hidden="false" customHeight="true" outlineLevel="0" collapsed="false"/>
    <row r="466" customFormat="false" ht="15.75" hidden="false" customHeight="true" outlineLevel="0" collapsed="false"/>
    <row r="467" customFormat="false" ht="15.75" hidden="false" customHeight="true" outlineLevel="0" collapsed="false"/>
    <row r="468" customFormat="false" ht="15.75" hidden="false" customHeight="true" outlineLevel="0" collapsed="false"/>
    <row r="469" customFormat="false" ht="15.75" hidden="false" customHeight="true" outlineLevel="0" collapsed="false"/>
    <row r="470" customFormat="false" ht="15.75" hidden="false" customHeight="true" outlineLevel="0" collapsed="false"/>
    <row r="471" customFormat="false" ht="15.75" hidden="false" customHeight="true" outlineLevel="0" collapsed="false"/>
    <row r="472" customFormat="false" ht="15.75" hidden="false" customHeight="true" outlineLevel="0" collapsed="false"/>
    <row r="473" customFormat="false" ht="15.75" hidden="false" customHeight="true" outlineLevel="0" collapsed="false"/>
    <row r="474" customFormat="false" ht="15.75" hidden="false" customHeight="true" outlineLevel="0" collapsed="false"/>
    <row r="475" customFormat="false" ht="15.75" hidden="false" customHeight="true" outlineLevel="0" collapsed="false"/>
    <row r="476" customFormat="false" ht="15.75" hidden="false" customHeight="true" outlineLevel="0" collapsed="false"/>
    <row r="477" customFormat="false" ht="15.75" hidden="false" customHeight="true" outlineLevel="0" collapsed="false"/>
    <row r="478" customFormat="false" ht="15.75" hidden="false" customHeight="true" outlineLevel="0" collapsed="false"/>
    <row r="479" customFormat="false" ht="15.75" hidden="false" customHeight="true" outlineLevel="0" collapsed="false"/>
    <row r="480" customFormat="false" ht="15.75" hidden="false" customHeight="true" outlineLevel="0" collapsed="false"/>
    <row r="481" customFormat="false" ht="15.75" hidden="false" customHeight="true" outlineLevel="0" collapsed="false"/>
    <row r="482" customFormat="false" ht="15.75" hidden="false" customHeight="true" outlineLevel="0" collapsed="false"/>
    <row r="483" customFormat="false" ht="15.75" hidden="false" customHeight="true" outlineLevel="0" collapsed="false"/>
    <row r="484" customFormat="false" ht="15.75" hidden="false" customHeight="true" outlineLevel="0" collapsed="false"/>
    <row r="485" customFormat="false" ht="15.75" hidden="false" customHeight="true" outlineLevel="0" collapsed="false"/>
    <row r="486" customFormat="false" ht="15.75" hidden="false" customHeight="true" outlineLevel="0" collapsed="false"/>
    <row r="487" customFormat="false" ht="15.75" hidden="false" customHeight="true" outlineLevel="0" collapsed="false"/>
    <row r="488" customFormat="false" ht="15.75" hidden="false" customHeight="true" outlineLevel="0" collapsed="false"/>
    <row r="489" customFormat="false" ht="15.75" hidden="false" customHeight="true" outlineLevel="0" collapsed="false"/>
    <row r="490" customFormat="false" ht="15.75" hidden="false" customHeight="true" outlineLevel="0" collapsed="false"/>
    <row r="491" customFormat="false" ht="15.75" hidden="false" customHeight="true" outlineLevel="0" collapsed="false"/>
    <row r="492" customFormat="false" ht="15.75" hidden="false" customHeight="true" outlineLevel="0" collapsed="false"/>
    <row r="493" customFormat="false" ht="15.75" hidden="false" customHeight="true" outlineLevel="0" collapsed="false"/>
    <row r="494" customFormat="false" ht="15.75" hidden="false" customHeight="true" outlineLevel="0" collapsed="false"/>
    <row r="495" customFormat="false" ht="15.75" hidden="false" customHeight="true" outlineLevel="0" collapsed="false"/>
    <row r="496" customFormat="false" ht="15.75" hidden="false" customHeight="true" outlineLevel="0" collapsed="false"/>
    <row r="497" customFormat="false" ht="15.75" hidden="false" customHeight="true" outlineLevel="0" collapsed="false"/>
    <row r="498" customFormat="false" ht="15.75" hidden="false" customHeight="true" outlineLevel="0" collapsed="false"/>
    <row r="499" customFormat="false" ht="15.75" hidden="false" customHeight="true" outlineLevel="0" collapsed="false"/>
    <row r="500" customFormat="false" ht="15.75" hidden="false" customHeight="true" outlineLevel="0" collapsed="false"/>
    <row r="501" customFormat="false" ht="15.75" hidden="false" customHeight="true" outlineLevel="0" collapsed="false"/>
    <row r="502" customFormat="false" ht="15.75" hidden="false" customHeight="true" outlineLevel="0" collapsed="false"/>
    <row r="503" customFormat="false" ht="15.75" hidden="false" customHeight="true" outlineLevel="0" collapsed="false"/>
    <row r="504" customFormat="false" ht="15.75" hidden="false" customHeight="true" outlineLevel="0" collapsed="false"/>
    <row r="505" customFormat="false" ht="15.75" hidden="false" customHeight="true" outlineLevel="0" collapsed="false"/>
    <row r="506" customFormat="false" ht="15.75" hidden="false" customHeight="true" outlineLevel="0" collapsed="false"/>
    <row r="507" customFormat="false" ht="15.75" hidden="false" customHeight="true" outlineLevel="0" collapsed="false"/>
    <row r="508" customFormat="false" ht="15.75" hidden="false" customHeight="true" outlineLevel="0" collapsed="false"/>
    <row r="509" customFormat="false" ht="15.75" hidden="false" customHeight="true" outlineLevel="0" collapsed="false"/>
    <row r="510" customFormat="false" ht="15.75" hidden="false" customHeight="true" outlineLevel="0" collapsed="false"/>
    <row r="511" customFormat="false" ht="15.75" hidden="false" customHeight="true" outlineLevel="0" collapsed="false"/>
    <row r="512" customFormat="false" ht="15.75" hidden="false" customHeight="true" outlineLevel="0" collapsed="false"/>
    <row r="513" customFormat="false" ht="15.75" hidden="false" customHeight="true" outlineLevel="0" collapsed="false"/>
    <row r="514" customFormat="false" ht="15.75" hidden="false" customHeight="true" outlineLevel="0" collapsed="false"/>
    <row r="515" customFormat="false" ht="15.75" hidden="false" customHeight="true" outlineLevel="0" collapsed="false"/>
    <row r="516" customFormat="false" ht="15.75" hidden="false" customHeight="true" outlineLevel="0" collapsed="false"/>
    <row r="517" customFormat="false" ht="15.75" hidden="false" customHeight="true" outlineLevel="0" collapsed="false"/>
    <row r="518" customFormat="false" ht="15.75" hidden="false" customHeight="true" outlineLevel="0" collapsed="false"/>
    <row r="519" customFormat="false" ht="15.75" hidden="false" customHeight="true" outlineLevel="0" collapsed="false"/>
    <row r="520" customFormat="false" ht="15.75" hidden="false" customHeight="true" outlineLevel="0" collapsed="false"/>
    <row r="521" customFormat="false" ht="15.75" hidden="false" customHeight="true" outlineLevel="0" collapsed="false"/>
    <row r="522" customFormat="false" ht="15.75" hidden="false" customHeight="true" outlineLevel="0" collapsed="false"/>
    <row r="523" customFormat="false" ht="15.75" hidden="false" customHeight="true" outlineLevel="0" collapsed="false"/>
    <row r="524" customFormat="false" ht="15.75" hidden="false" customHeight="true" outlineLevel="0" collapsed="false"/>
    <row r="525" customFormat="false" ht="15.75" hidden="false" customHeight="true" outlineLevel="0" collapsed="false"/>
    <row r="526" customFormat="false" ht="15.75" hidden="false" customHeight="true" outlineLevel="0" collapsed="false"/>
    <row r="527" customFormat="false" ht="15.75" hidden="false" customHeight="true" outlineLevel="0" collapsed="false"/>
    <row r="528" customFormat="false" ht="15.75" hidden="false" customHeight="true" outlineLevel="0" collapsed="false"/>
    <row r="529" customFormat="false" ht="15.75" hidden="false" customHeight="true" outlineLevel="0" collapsed="false"/>
    <row r="530" customFormat="false" ht="15.75" hidden="false" customHeight="true" outlineLevel="0" collapsed="false"/>
    <row r="531" customFormat="false" ht="15.75" hidden="false" customHeight="true" outlineLevel="0" collapsed="false"/>
    <row r="532" customFormat="false" ht="15.75" hidden="false" customHeight="true" outlineLevel="0" collapsed="false"/>
    <row r="533" customFormat="false" ht="15.75" hidden="false" customHeight="true" outlineLevel="0" collapsed="false"/>
    <row r="534" customFormat="false" ht="15.75" hidden="false" customHeight="true" outlineLevel="0" collapsed="false"/>
    <row r="535" customFormat="false" ht="15.75" hidden="false" customHeight="true" outlineLevel="0" collapsed="false"/>
    <row r="536" customFormat="false" ht="15.75" hidden="false" customHeight="true" outlineLevel="0" collapsed="false"/>
    <row r="537" customFormat="false" ht="15.75" hidden="false" customHeight="true" outlineLevel="0" collapsed="false"/>
    <row r="538" customFormat="false" ht="15.75" hidden="false" customHeight="true" outlineLevel="0" collapsed="false"/>
    <row r="539" customFormat="false" ht="15.75" hidden="false" customHeight="true" outlineLevel="0" collapsed="false"/>
    <row r="540" customFormat="false" ht="15.75" hidden="false" customHeight="true" outlineLevel="0" collapsed="false"/>
    <row r="541" customFormat="false" ht="15.75" hidden="false" customHeight="true" outlineLevel="0" collapsed="false"/>
    <row r="542" customFormat="false" ht="15.75" hidden="false" customHeight="true" outlineLevel="0" collapsed="false"/>
    <row r="543" customFormat="false" ht="15.75" hidden="false" customHeight="true" outlineLevel="0" collapsed="false"/>
    <row r="544" customFormat="false" ht="15.75" hidden="false" customHeight="true" outlineLevel="0" collapsed="false"/>
    <row r="545" customFormat="false" ht="15.75" hidden="false" customHeight="true" outlineLevel="0" collapsed="false"/>
    <row r="546" customFormat="false" ht="15.75" hidden="false" customHeight="true" outlineLevel="0" collapsed="false"/>
    <row r="547" customFormat="false" ht="15.75" hidden="false" customHeight="true" outlineLevel="0" collapsed="false"/>
    <row r="548" customFormat="false" ht="15.75" hidden="false" customHeight="true" outlineLevel="0" collapsed="false"/>
    <row r="549" customFormat="false" ht="15.75" hidden="false" customHeight="true" outlineLevel="0" collapsed="false"/>
    <row r="550" customFormat="false" ht="15.75" hidden="false" customHeight="true" outlineLevel="0" collapsed="false"/>
    <row r="551" customFormat="false" ht="15.75" hidden="false" customHeight="true" outlineLevel="0" collapsed="false"/>
    <row r="552" customFormat="false" ht="15.75" hidden="false" customHeight="true" outlineLevel="0" collapsed="false"/>
    <row r="553" customFormat="false" ht="15.75" hidden="false" customHeight="true" outlineLevel="0" collapsed="false"/>
    <row r="554" customFormat="false" ht="15.75" hidden="false" customHeight="true" outlineLevel="0" collapsed="false"/>
    <row r="555" customFormat="false" ht="15.75" hidden="false" customHeight="true" outlineLevel="0" collapsed="false"/>
    <row r="556" customFormat="false" ht="15.75" hidden="false" customHeight="true" outlineLevel="0" collapsed="false"/>
    <row r="557" customFormat="false" ht="15.75" hidden="false" customHeight="true" outlineLevel="0" collapsed="false"/>
    <row r="558" customFormat="false" ht="15.75" hidden="false" customHeight="true" outlineLevel="0" collapsed="false"/>
    <row r="559" customFormat="false" ht="15.75" hidden="false" customHeight="true" outlineLevel="0" collapsed="false"/>
    <row r="560" customFormat="false" ht="15.75" hidden="false" customHeight="true" outlineLevel="0" collapsed="false"/>
    <row r="561" customFormat="false" ht="15.75" hidden="false" customHeight="true" outlineLevel="0" collapsed="false"/>
    <row r="562" customFormat="false" ht="15.75" hidden="false" customHeight="true" outlineLevel="0" collapsed="false"/>
    <row r="563" customFormat="false" ht="15.75" hidden="false" customHeight="true" outlineLevel="0" collapsed="false"/>
    <row r="564" customFormat="false" ht="15.75" hidden="false" customHeight="true" outlineLevel="0" collapsed="false"/>
    <row r="565" customFormat="false" ht="15.75" hidden="false" customHeight="true" outlineLevel="0" collapsed="false"/>
    <row r="566" customFormat="false" ht="15.75" hidden="false" customHeight="true" outlineLevel="0" collapsed="false"/>
    <row r="567" customFormat="false" ht="15.75" hidden="false" customHeight="true" outlineLevel="0" collapsed="false"/>
    <row r="568" customFormat="false" ht="15.75" hidden="false" customHeight="true" outlineLevel="0" collapsed="false"/>
    <row r="569" customFormat="false" ht="15.75" hidden="false" customHeight="true" outlineLevel="0" collapsed="false"/>
    <row r="570" customFormat="false" ht="15.75" hidden="false" customHeight="true" outlineLevel="0" collapsed="false"/>
    <row r="571" customFormat="false" ht="15.75" hidden="false" customHeight="true" outlineLevel="0" collapsed="false"/>
    <row r="572" customFormat="false" ht="15.75" hidden="false" customHeight="true" outlineLevel="0" collapsed="false"/>
    <row r="573" customFormat="false" ht="15.75" hidden="false" customHeight="true" outlineLevel="0" collapsed="false"/>
    <row r="574" customFormat="false" ht="15.75" hidden="false" customHeight="true" outlineLevel="0" collapsed="false"/>
    <row r="575" customFormat="false" ht="15.75" hidden="false" customHeight="true" outlineLevel="0" collapsed="false"/>
    <row r="576" customFormat="false" ht="15.75" hidden="false" customHeight="true" outlineLevel="0" collapsed="false"/>
    <row r="577" customFormat="false" ht="15.75" hidden="false" customHeight="true" outlineLevel="0" collapsed="false"/>
    <row r="578" customFormat="false" ht="15.75" hidden="false" customHeight="true" outlineLevel="0" collapsed="false"/>
    <row r="579" customFormat="false" ht="15.75" hidden="false" customHeight="true" outlineLevel="0" collapsed="false"/>
    <row r="580" customFormat="false" ht="15.75" hidden="false" customHeight="true" outlineLevel="0" collapsed="false"/>
    <row r="581" customFormat="false" ht="15.75" hidden="false" customHeight="true" outlineLevel="0" collapsed="false"/>
    <row r="582" customFormat="false" ht="15.75" hidden="false" customHeight="true" outlineLevel="0" collapsed="false"/>
    <row r="583" customFormat="false" ht="15.75" hidden="false" customHeight="true" outlineLevel="0" collapsed="false"/>
    <row r="584" customFormat="false" ht="15.75" hidden="false" customHeight="true" outlineLevel="0" collapsed="false"/>
    <row r="585" customFormat="false" ht="15.75" hidden="false" customHeight="true" outlineLevel="0" collapsed="false"/>
    <row r="586" customFormat="false" ht="15.75" hidden="false" customHeight="true" outlineLevel="0" collapsed="false"/>
    <row r="587" customFormat="false" ht="15.75" hidden="false" customHeight="true" outlineLevel="0" collapsed="false"/>
    <row r="588" customFormat="false" ht="15.75" hidden="false" customHeight="true" outlineLevel="0" collapsed="false"/>
    <row r="589" customFormat="false" ht="15.75" hidden="false" customHeight="true" outlineLevel="0" collapsed="false"/>
    <row r="590" customFormat="false" ht="15.75" hidden="false" customHeight="true" outlineLevel="0" collapsed="false"/>
    <row r="591" customFormat="false" ht="15.75" hidden="false" customHeight="true" outlineLevel="0" collapsed="false"/>
    <row r="592" customFormat="false" ht="15.75" hidden="false" customHeight="true" outlineLevel="0" collapsed="false"/>
    <row r="593" customFormat="false" ht="15.75" hidden="false" customHeight="true" outlineLevel="0" collapsed="false"/>
    <row r="594" customFormat="false" ht="15.75" hidden="false" customHeight="true" outlineLevel="0" collapsed="false"/>
    <row r="595" customFormat="false" ht="15.75" hidden="false" customHeight="true" outlineLevel="0" collapsed="false"/>
    <row r="596" customFormat="false" ht="15.75" hidden="false" customHeight="true" outlineLevel="0" collapsed="false"/>
    <row r="597" customFormat="false" ht="15.75" hidden="false" customHeight="true" outlineLevel="0" collapsed="false"/>
    <row r="598" customFormat="false" ht="15.75" hidden="false" customHeight="true" outlineLevel="0" collapsed="false"/>
    <row r="599" customFormat="false" ht="15.75" hidden="false" customHeight="true" outlineLevel="0" collapsed="false"/>
    <row r="600" customFormat="false" ht="15.75" hidden="false" customHeight="true" outlineLevel="0" collapsed="false"/>
    <row r="601" customFormat="false" ht="15.75" hidden="false" customHeight="true" outlineLevel="0" collapsed="false"/>
    <row r="602" customFormat="false" ht="15.75" hidden="false" customHeight="true" outlineLevel="0" collapsed="false"/>
    <row r="603" customFormat="false" ht="15.75" hidden="false" customHeight="true" outlineLevel="0" collapsed="false"/>
    <row r="604" customFormat="false" ht="15.75" hidden="false" customHeight="true" outlineLevel="0" collapsed="false"/>
    <row r="605" customFormat="false" ht="15.75" hidden="false" customHeight="true" outlineLevel="0" collapsed="false"/>
    <row r="606" customFormat="false" ht="15.75" hidden="false" customHeight="true" outlineLevel="0" collapsed="false"/>
    <row r="607" customFormat="false" ht="15.75" hidden="false" customHeight="true" outlineLevel="0" collapsed="false"/>
    <row r="608" customFormat="false" ht="15.75" hidden="false" customHeight="true" outlineLevel="0" collapsed="false"/>
    <row r="609" customFormat="false" ht="15.75" hidden="false" customHeight="true" outlineLevel="0" collapsed="false"/>
    <row r="610" customFormat="false" ht="15.75" hidden="false" customHeight="true" outlineLevel="0" collapsed="false"/>
    <row r="611" customFormat="false" ht="15.75" hidden="false" customHeight="true" outlineLevel="0" collapsed="false"/>
    <row r="612" customFormat="false" ht="15.75" hidden="false" customHeight="true" outlineLevel="0" collapsed="false"/>
    <row r="613" customFormat="false" ht="15.75" hidden="false" customHeight="true" outlineLevel="0" collapsed="false"/>
    <row r="614" customFormat="false" ht="15.75" hidden="false" customHeight="true" outlineLevel="0" collapsed="false"/>
    <row r="615" customFormat="false" ht="15.75" hidden="false" customHeight="true" outlineLevel="0" collapsed="false"/>
    <row r="616" customFormat="false" ht="15.75" hidden="false" customHeight="true" outlineLevel="0" collapsed="false"/>
    <row r="617" customFormat="false" ht="15.75" hidden="false" customHeight="true" outlineLevel="0" collapsed="false"/>
    <row r="618" customFormat="false" ht="15.75" hidden="false" customHeight="true" outlineLevel="0" collapsed="false"/>
    <row r="619" customFormat="false" ht="15.75" hidden="false" customHeight="true" outlineLevel="0" collapsed="false"/>
    <row r="620" customFormat="false" ht="15.75" hidden="false" customHeight="true" outlineLevel="0" collapsed="false"/>
    <row r="621" customFormat="false" ht="15.75" hidden="false" customHeight="true" outlineLevel="0" collapsed="false"/>
    <row r="622" customFormat="false" ht="15.75" hidden="false" customHeight="true" outlineLevel="0" collapsed="false"/>
    <row r="623" customFormat="false" ht="15.75" hidden="false" customHeight="true" outlineLevel="0" collapsed="false"/>
    <row r="624" customFormat="false" ht="15.75" hidden="false" customHeight="true" outlineLevel="0" collapsed="false"/>
    <row r="625" customFormat="false" ht="15.75" hidden="false" customHeight="true" outlineLevel="0" collapsed="false"/>
    <row r="626" customFormat="false" ht="15.75" hidden="false" customHeight="true" outlineLevel="0" collapsed="false"/>
    <row r="627" customFormat="false" ht="15.75" hidden="false" customHeight="true" outlineLevel="0" collapsed="false"/>
    <row r="628" customFormat="false" ht="15.75" hidden="false" customHeight="true" outlineLevel="0" collapsed="false"/>
    <row r="629" customFormat="false" ht="15.75" hidden="false" customHeight="true" outlineLevel="0" collapsed="false"/>
    <row r="630" customFormat="false" ht="15.75" hidden="false" customHeight="true" outlineLevel="0" collapsed="false"/>
    <row r="631" customFormat="false" ht="15.75" hidden="false" customHeight="true" outlineLevel="0" collapsed="false"/>
    <row r="632" customFormat="false" ht="15.75" hidden="false" customHeight="true" outlineLevel="0" collapsed="false"/>
    <row r="633" customFormat="false" ht="15.75" hidden="false" customHeight="true" outlineLevel="0" collapsed="false"/>
    <row r="634" customFormat="false" ht="15.75" hidden="false" customHeight="true" outlineLevel="0" collapsed="false"/>
    <row r="635" customFormat="false" ht="15.75" hidden="false" customHeight="true" outlineLevel="0" collapsed="false"/>
    <row r="636" customFormat="false" ht="15.75" hidden="false" customHeight="true" outlineLevel="0" collapsed="false"/>
    <row r="637" customFormat="false" ht="15.75" hidden="false" customHeight="true" outlineLevel="0" collapsed="false"/>
    <row r="638" customFormat="false" ht="15.75" hidden="false" customHeight="true" outlineLevel="0" collapsed="false"/>
    <row r="639" customFormat="false" ht="15.75" hidden="false" customHeight="true" outlineLevel="0" collapsed="false"/>
    <row r="640" customFormat="false" ht="15.75" hidden="false" customHeight="true" outlineLevel="0" collapsed="false"/>
    <row r="641" customFormat="false" ht="15.75" hidden="false" customHeight="true" outlineLevel="0" collapsed="false"/>
    <row r="642" customFormat="false" ht="15.75" hidden="false" customHeight="true" outlineLevel="0" collapsed="false"/>
    <row r="643" customFormat="false" ht="15.75" hidden="false" customHeight="true" outlineLevel="0" collapsed="false"/>
    <row r="644" customFormat="false" ht="15.75" hidden="false" customHeight="true" outlineLevel="0" collapsed="false"/>
    <row r="645" customFormat="false" ht="15.75" hidden="false" customHeight="true" outlineLevel="0" collapsed="false"/>
    <row r="646" customFormat="false" ht="15.75" hidden="false" customHeight="true" outlineLevel="0" collapsed="false"/>
    <row r="647" customFormat="false" ht="15.75" hidden="false" customHeight="true" outlineLevel="0" collapsed="false"/>
    <row r="648" customFormat="false" ht="15.75" hidden="false" customHeight="true" outlineLevel="0" collapsed="false"/>
    <row r="649" customFormat="false" ht="15.75" hidden="false" customHeight="true" outlineLevel="0" collapsed="false"/>
    <row r="650" customFormat="false" ht="15.75" hidden="false" customHeight="true" outlineLevel="0" collapsed="false"/>
    <row r="651" customFormat="false" ht="15.75" hidden="false" customHeight="true" outlineLevel="0" collapsed="false"/>
    <row r="652" customFormat="false" ht="15.75" hidden="false" customHeight="true" outlineLevel="0" collapsed="false"/>
    <row r="653" customFormat="false" ht="15.75" hidden="false" customHeight="true" outlineLevel="0" collapsed="false"/>
    <row r="654" customFormat="false" ht="15.75" hidden="false" customHeight="true" outlineLevel="0" collapsed="false"/>
    <row r="655" customFormat="false" ht="15.75" hidden="false" customHeight="true" outlineLevel="0" collapsed="false"/>
    <row r="656" customFormat="false" ht="15.75" hidden="false" customHeight="true" outlineLevel="0" collapsed="false"/>
    <row r="657" customFormat="false" ht="15.75" hidden="false" customHeight="true" outlineLevel="0" collapsed="false"/>
    <row r="658" customFormat="false" ht="15.75" hidden="false" customHeight="true" outlineLevel="0" collapsed="false"/>
    <row r="659" customFormat="false" ht="15.75" hidden="false" customHeight="true" outlineLevel="0" collapsed="false"/>
    <row r="660" customFormat="false" ht="15.75" hidden="false" customHeight="true" outlineLevel="0" collapsed="false"/>
    <row r="661" customFormat="false" ht="15.75" hidden="false" customHeight="true" outlineLevel="0" collapsed="false"/>
    <row r="662" customFormat="false" ht="15.75" hidden="false" customHeight="true" outlineLevel="0" collapsed="false"/>
    <row r="663" customFormat="false" ht="15.75" hidden="false" customHeight="true" outlineLevel="0" collapsed="false"/>
    <row r="664" customFormat="false" ht="15.75" hidden="false" customHeight="true" outlineLevel="0" collapsed="false"/>
    <row r="665" customFormat="false" ht="15.75" hidden="false" customHeight="true" outlineLevel="0" collapsed="false"/>
    <row r="666" customFormat="false" ht="15.75" hidden="false" customHeight="true" outlineLevel="0" collapsed="false"/>
    <row r="667" customFormat="false" ht="15.75" hidden="false" customHeight="true" outlineLevel="0" collapsed="false"/>
    <row r="668" customFormat="false" ht="15.75" hidden="false" customHeight="true" outlineLevel="0" collapsed="false"/>
    <row r="669" customFormat="false" ht="15.75" hidden="false" customHeight="true" outlineLevel="0" collapsed="false"/>
    <row r="670" customFormat="false" ht="15.75" hidden="false" customHeight="true" outlineLevel="0" collapsed="false"/>
    <row r="671" customFormat="false" ht="15.75" hidden="false" customHeight="true" outlineLevel="0" collapsed="false"/>
    <row r="672" customFormat="false" ht="15.75" hidden="false" customHeight="true" outlineLevel="0" collapsed="false"/>
    <row r="673" customFormat="false" ht="15.75" hidden="false" customHeight="true" outlineLevel="0" collapsed="false"/>
    <row r="674" customFormat="false" ht="15.75" hidden="false" customHeight="true" outlineLevel="0" collapsed="false"/>
    <row r="675" customFormat="false" ht="15.75" hidden="false" customHeight="true" outlineLevel="0" collapsed="false"/>
    <row r="676" customFormat="false" ht="15.75" hidden="false" customHeight="true" outlineLevel="0" collapsed="false"/>
    <row r="677" customFormat="false" ht="15.75" hidden="false" customHeight="true" outlineLevel="0" collapsed="false"/>
    <row r="678" customFormat="false" ht="15.75" hidden="false" customHeight="true" outlineLevel="0" collapsed="false"/>
    <row r="679" customFormat="false" ht="15.75" hidden="false" customHeight="true" outlineLevel="0" collapsed="false"/>
    <row r="680" customFormat="false" ht="15.75" hidden="false" customHeight="true" outlineLevel="0" collapsed="false"/>
    <row r="681" customFormat="false" ht="15.75" hidden="false" customHeight="true" outlineLevel="0" collapsed="false"/>
    <row r="682" customFormat="false" ht="15.75" hidden="false" customHeight="true" outlineLevel="0" collapsed="false"/>
    <row r="683" customFormat="false" ht="15.75" hidden="false" customHeight="true" outlineLevel="0" collapsed="false"/>
    <row r="684" customFormat="false" ht="15.75" hidden="false" customHeight="true" outlineLevel="0" collapsed="false"/>
    <row r="685" customFormat="false" ht="15.75" hidden="false" customHeight="true" outlineLevel="0" collapsed="false"/>
    <row r="686" customFormat="false" ht="15.75" hidden="false" customHeight="true" outlineLevel="0" collapsed="false"/>
    <row r="687" customFormat="false" ht="15.75" hidden="false" customHeight="true" outlineLevel="0" collapsed="false"/>
    <row r="688" customFormat="false" ht="15.75" hidden="false" customHeight="true" outlineLevel="0" collapsed="false"/>
    <row r="689" customFormat="false" ht="15.75" hidden="false" customHeight="true" outlineLevel="0" collapsed="false"/>
    <row r="690" customFormat="false" ht="15.75" hidden="false" customHeight="true" outlineLevel="0" collapsed="false"/>
    <row r="691" customFormat="false" ht="15.75" hidden="false" customHeight="true" outlineLevel="0" collapsed="false"/>
    <row r="692" customFormat="false" ht="15.75" hidden="false" customHeight="true" outlineLevel="0" collapsed="false"/>
    <row r="693" customFormat="false" ht="15.75" hidden="false" customHeight="true" outlineLevel="0" collapsed="false"/>
    <row r="694" customFormat="false" ht="15.75" hidden="false" customHeight="true" outlineLevel="0" collapsed="false"/>
    <row r="695" customFormat="false" ht="15.75" hidden="false" customHeight="true" outlineLevel="0" collapsed="false"/>
    <row r="696" customFormat="false" ht="15.75" hidden="false" customHeight="true" outlineLevel="0" collapsed="false"/>
    <row r="697" customFormat="false" ht="15.75" hidden="false" customHeight="true" outlineLevel="0" collapsed="false"/>
    <row r="698" customFormat="false" ht="15.75" hidden="false" customHeight="true" outlineLevel="0" collapsed="false"/>
    <row r="699" customFormat="false" ht="15.75" hidden="false" customHeight="true" outlineLevel="0" collapsed="false"/>
    <row r="700" customFormat="false" ht="15.75" hidden="false" customHeight="true" outlineLevel="0" collapsed="false"/>
    <row r="701" customFormat="false" ht="15.75" hidden="false" customHeight="true" outlineLevel="0" collapsed="false"/>
    <row r="702" customFormat="false" ht="15.75" hidden="false" customHeight="true" outlineLevel="0" collapsed="false"/>
    <row r="703" customFormat="false" ht="15.75" hidden="false" customHeight="true" outlineLevel="0" collapsed="false"/>
    <row r="704" customFormat="false" ht="15.75" hidden="false" customHeight="true" outlineLevel="0" collapsed="false"/>
    <row r="705" customFormat="false" ht="15.75" hidden="false" customHeight="true" outlineLevel="0" collapsed="false"/>
    <row r="706" customFormat="false" ht="15.75" hidden="false" customHeight="true" outlineLevel="0" collapsed="false"/>
    <row r="707" customFormat="false" ht="15.75" hidden="false" customHeight="true" outlineLevel="0" collapsed="false"/>
    <row r="708" customFormat="false" ht="15.75" hidden="false" customHeight="true" outlineLevel="0" collapsed="false"/>
    <row r="709" customFormat="false" ht="15.75" hidden="false" customHeight="true" outlineLevel="0" collapsed="false"/>
    <row r="710" customFormat="false" ht="15.75" hidden="false" customHeight="true" outlineLevel="0" collapsed="false"/>
    <row r="711" customFormat="false" ht="15.75" hidden="false" customHeight="true" outlineLevel="0" collapsed="false"/>
    <row r="712" customFormat="false" ht="15.75" hidden="false" customHeight="true" outlineLevel="0" collapsed="false"/>
    <row r="713" customFormat="false" ht="15.75" hidden="false" customHeight="true" outlineLevel="0" collapsed="false"/>
    <row r="714" customFormat="false" ht="15.75" hidden="false" customHeight="true" outlineLevel="0" collapsed="false"/>
    <row r="715" customFormat="false" ht="15.75" hidden="false" customHeight="true" outlineLevel="0" collapsed="false"/>
    <row r="716" customFormat="false" ht="15.75" hidden="false" customHeight="true" outlineLevel="0" collapsed="false"/>
    <row r="717" customFormat="false" ht="15.75" hidden="false" customHeight="true" outlineLevel="0" collapsed="false"/>
    <row r="718" customFormat="false" ht="15.75" hidden="false" customHeight="true" outlineLevel="0" collapsed="false"/>
    <row r="719" customFormat="false" ht="15.75" hidden="false" customHeight="true" outlineLevel="0" collapsed="false"/>
    <row r="720" customFormat="false" ht="15.75" hidden="false" customHeight="true" outlineLevel="0" collapsed="false"/>
    <row r="721" customFormat="false" ht="15.75" hidden="false" customHeight="true" outlineLevel="0" collapsed="false"/>
    <row r="722" customFormat="false" ht="15.75" hidden="false" customHeight="true" outlineLevel="0" collapsed="false"/>
    <row r="723" customFormat="false" ht="15.75" hidden="false" customHeight="true" outlineLevel="0" collapsed="false"/>
    <row r="724" customFormat="false" ht="15.75" hidden="false" customHeight="true" outlineLevel="0" collapsed="false"/>
    <row r="725" customFormat="false" ht="15.75" hidden="false" customHeight="true" outlineLevel="0" collapsed="false"/>
    <row r="726" customFormat="false" ht="15.75" hidden="false" customHeight="true" outlineLevel="0" collapsed="false"/>
    <row r="727" customFormat="false" ht="15.75" hidden="false" customHeight="true" outlineLevel="0" collapsed="false"/>
    <row r="728" customFormat="false" ht="15.75" hidden="false" customHeight="true" outlineLevel="0" collapsed="false"/>
    <row r="729" customFormat="false" ht="15.75" hidden="false" customHeight="true" outlineLevel="0" collapsed="false"/>
    <row r="730" customFormat="false" ht="15.75" hidden="false" customHeight="true" outlineLevel="0" collapsed="false"/>
    <row r="731" customFormat="false" ht="15.75" hidden="false" customHeight="true" outlineLevel="0" collapsed="false"/>
    <row r="732" customFormat="false" ht="15.75" hidden="false" customHeight="true" outlineLevel="0" collapsed="false"/>
    <row r="733" customFormat="false" ht="15.75" hidden="false" customHeight="true" outlineLevel="0" collapsed="false"/>
    <row r="734" customFormat="false" ht="15.75" hidden="false" customHeight="true" outlineLevel="0" collapsed="false"/>
    <row r="735" customFormat="false" ht="15.75" hidden="false" customHeight="true" outlineLevel="0" collapsed="false"/>
    <row r="736" customFormat="false" ht="15.75" hidden="false" customHeight="true" outlineLevel="0" collapsed="false"/>
    <row r="737" customFormat="false" ht="15.75" hidden="false" customHeight="true" outlineLevel="0" collapsed="false"/>
    <row r="738" customFormat="false" ht="15.75" hidden="false" customHeight="true" outlineLevel="0" collapsed="false"/>
    <row r="739" customFormat="false" ht="15.75" hidden="false" customHeight="true" outlineLevel="0" collapsed="false"/>
    <row r="740" customFormat="false" ht="15.75" hidden="false" customHeight="true" outlineLevel="0" collapsed="false"/>
    <row r="741" customFormat="false" ht="15.75" hidden="false" customHeight="true" outlineLevel="0" collapsed="false"/>
    <row r="742" customFormat="false" ht="15.75" hidden="false" customHeight="true" outlineLevel="0" collapsed="false"/>
    <row r="743" customFormat="false" ht="15.75" hidden="false" customHeight="true" outlineLevel="0" collapsed="false"/>
    <row r="744" customFormat="false" ht="15.75" hidden="false" customHeight="true" outlineLevel="0" collapsed="false"/>
    <row r="745" customFormat="false" ht="15.75" hidden="false" customHeight="true" outlineLevel="0" collapsed="false"/>
    <row r="746" customFormat="false" ht="15.75" hidden="false" customHeight="true" outlineLevel="0" collapsed="false"/>
    <row r="747" customFormat="false" ht="15.75" hidden="false" customHeight="true" outlineLevel="0" collapsed="false"/>
    <row r="748" customFormat="false" ht="15.75" hidden="false" customHeight="true" outlineLevel="0" collapsed="false"/>
    <row r="749" customFormat="false" ht="15.75" hidden="false" customHeight="true" outlineLevel="0" collapsed="false"/>
    <row r="750" customFormat="false" ht="15.75" hidden="false" customHeight="true" outlineLevel="0" collapsed="false"/>
    <row r="751" customFormat="false" ht="15.75" hidden="false" customHeight="true" outlineLevel="0" collapsed="false"/>
    <row r="752" customFormat="false" ht="15.75" hidden="false" customHeight="true" outlineLevel="0" collapsed="false"/>
    <row r="753" customFormat="false" ht="15.75" hidden="false" customHeight="true" outlineLevel="0" collapsed="false"/>
    <row r="754" customFormat="false" ht="15.75" hidden="false" customHeight="true" outlineLevel="0" collapsed="false"/>
    <row r="755" customFormat="false" ht="15.75" hidden="false" customHeight="true" outlineLevel="0" collapsed="false"/>
    <row r="756" customFormat="false" ht="15.75" hidden="false" customHeight="true" outlineLevel="0" collapsed="false"/>
    <row r="757" customFormat="false" ht="15.75" hidden="false" customHeight="true" outlineLevel="0" collapsed="false"/>
    <row r="758" customFormat="false" ht="15.75" hidden="false" customHeight="true" outlineLevel="0" collapsed="false"/>
    <row r="759" customFormat="false" ht="15.75" hidden="false" customHeight="true" outlineLevel="0" collapsed="false"/>
    <row r="760" customFormat="false" ht="15.75" hidden="false" customHeight="true" outlineLevel="0" collapsed="false"/>
    <row r="761" customFormat="false" ht="15.75" hidden="false" customHeight="true" outlineLevel="0" collapsed="false"/>
    <row r="762" customFormat="false" ht="15.75" hidden="false" customHeight="true" outlineLevel="0" collapsed="false"/>
    <row r="763" customFormat="false" ht="15.75" hidden="false" customHeight="true" outlineLevel="0" collapsed="false"/>
    <row r="764" customFormat="false" ht="15.75" hidden="false" customHeight="true" outlineLevel="0" collapsed="false"/>
    <row r="765" customFormat="false" ht="15.75" hidden="false" customHeight="true" outlineLevel="0" collapsed="false"/>
    <row r="766" customFormat="false" ht="15.75" hidden="false" customHeight="true" outlineLevel="0" collapsed="false"/>
    <row r="767" customFormat="false" ht="15.75" hidden="false" customHeight="true" outlineLevel="0" collapsed="false"/>
    <row r="768" customFormat="false" ht="15.75" hidden="false" customHeight="true" outlineLevel="0" collapsed="false"/>
    <row r="769" customFormat="false" ht="15.75" hidden="false" customHeight="true" outlineLevel="0" collapsed="false"/>
    <row r="770" customFormat="false" ht="15.75" hidden="false" customHeight="true" outlineLevel="0" collapsed="false"/>
    <row r="771" customFormat="false" ht="15.75" hidden="false" customHeight="true" outlineLevel="0" collapsed="false"/>
    <row r="772" customFormat="false" ht="15.75" hidden="false" customHeight="true" outlineLevel="0" collapsed="false"/>
    <row r="773" customFormat="false" ht="15.75" hidden="false" customHeight="true" outlineLevel="0" collapsed="false"/>
    <row r="774" customFormat="false" ht="15.75" hidden="false" customHeight="true" outlineLevel="0" collapsed="false"/>
    <row r="775" customFormat="false" ht="15.75" hidden="false" customHeight="true" outlineLevel="0" collapsed="false"/>
    <row r="776" customFormat="false" ht="15.75" hidden="false" customHeight="true" outlineLevel="0" collapsed="false"/>
    <row r="777" customFormat="false" ht="15.75" hidden="false" customHeight="true" outlineLevel="0" collapsed="false"/>
    <row r="778" customFormat="false" ht="15.75" hidden="false" customHeight="true" outlineLevel="0" collapsed="false"/>
    <row r="779" customFormat="false" ht="15.75" hidden="false" customHeight="true" outlineLevel="0" collapsed="false"/>
    <row r="780" customFormat="false" ht="15.75" hidden="false" customHeight="true" outlineLevel="0" collapsed="false"/>
    <row r="781" customFormat="false" ht="15.75" hidden="false" customHeight="true" outlineLevel="0" collapsed="false"/>
    <row r="782" customFormat="false" ht="15.75" hidden="false" customHeight="true" outlineLevel="0" collapsed="false"/>
    <row r="783" customFormat="false" ht="15.75" hidden="false" customHeight="true" outlineLevel="0" collapsed="false"/>
    <row r="784" customFormat="false" ht="15.75" hidden="false" customHeight="true" outlineLevel="0" collapsed="false"/>
    <row r="785" customFormat="false" ht="15.75" hidden="false" customHeight="true" outlineLevel="0" collapsed="false"/>
    <row r="786" customFormat="false" ht="15.75" hidden="false" customHeight="true" outlineLevel="0" collapsed="false"/>
    <row r="787" customFormat="false" ht="15.75" hidden="false" customHeight="true" outlineLevel="0" collapsed="false"/>
    <row r="788" customFormat="false" ht="15.75" hidden="false" customHeight="true" outlineLevel="0" collapsed="false"/>
    <row r="789" customFormat="false" ht="15.75" hidden="false" customHeight="true" outlineLevel="0" collapsed="false"/>
    <row r="790" customFormat="false" ht="15.75" hidden="false" customHeight="true" outlineLevel="0" collapsed="false"/>
    <row r="791" customFormat="false" ht="15.75" hidden="false" customHeight="true" outlineLevel="0" collapsed="false"/>
    <row r="792" customFormat="false" ht="15.75" hidden="false" customHeight="true" outlineLevel="0" collapsed="false"/>
    <row r="793" customFormat="false" ht="15.75" hidden="false" customHeight="true" outlineLevel="0" collapsed="false"/>
    <row r="794" customFormat="false" ht="15.75" hidden="false" customHeight="true" outlineLevel="0" collapsed="false"/>
    <row r="795" customFormat="false" ht="15.75" hidden="false" customHeight="true" outlineLevel="0" collapsed="false"/>
    <row r="796" customFormat="false" ht="15.75" hidden="false" customHeight="true" outlineLevel="0" collapsed="false"/>
    <row r="797" customFormat="false" ht="15.75" hidden="false" customHeight="true" outlineLevel="0" collapsed="false"/>
    <row r="798" customFormat="false" ht="15.75" hidden="false" customHeight="true" outlineLevel="0" collapsed="false"/>
    <row r="799" customFormat="false" ht="15.75" hidden="false" customHeight="true" outlineLevel="0" collapsed="false"/>
    <row r="800" customFormat="false" ht="15.75" hidden="false" customHeight="true" outlineLevel="0" collapsed="false"/>
    <row r="801" customFormat="false" ht="15.75" hidden="false" customHeight="true" outlineLevel="0" collapsed="false"/>
    <row r="802" customFormat="false" ht="15.75" hidden="false" customHeight="true" outlineLevel="0" collapsed="false"/>
    <row r="803" customFormat="false" ht="15.75" hidden="false" customHeight="true" outlineLevel="0" collapsed="false"/>
    <row r="804" customFormat="false" ht="15.75" hidden="false" customHeight="true" outlineLevel="0" collapsed="false"/>
    <row r="805" customFormat="false" ht="15.75" hidden="false" customHeight="true" outlineLevel="0" collapsed="false"/>
    <row r="806" customFormat="false" ht="15.75" hidden="false" customHeight="true" outlineLevel="0" collapsed="false"/>
    <row r="807" customFormat="false" ht="15.75" hidden="false" customHeight="true" outlineLevel="0" collapsed="false"/>
    <row r="808" customFormat="false" ht="15.75" hidden="false" customHeight="true" outlineLevel="0" collapsed="false"/>
    <row r="809" customFormat="false" ht="15.75" hidden="false" customHeight="true" outlineLevel="0" collapsed="false"/>
    <row r="810" customFormat="false" ht="15.75" hidden="false" customHeight="true" outlineLevel="0" collapsed="false"/>
    <row r="811" customFormat="false" ht="15.75" hidden="false" customHeight="true" outlineLevel="0" collapsed="false"/>
    <row r="812" customFormat="false" ht="15.75" hidden="false" customHeight="true" outlineLevel="0" collapsed="false"/>
    <row r="813" customFormat="false" ht="15.75" hidden="false" customHeight="true" outlineLevel="0" collapsed="false"/>
    <row r="814" customFormat="false" ht="15.75" hidden="false" customHeight="true" outlineLevel="0" collapsed="false"/>
    <row r="815" customFormat="false" ht="15.75" hidden="false" customHeight="true" outlineLevel="0" collapsed="false"/>
    <row r="816" customFormat="false" ht="15.75" hidden="false" customHeight="true" outlineLevel="0" collapsed="false"/>
    <row r="817" customFormat="false" ht="15.75" hidden="false" customHeight="true" outlineLevel="0" collapsed="false"/>
    <row r="818" customFormat="false" ht="15.75" hidden="false" customHeight="true" outlineLevel="0" collapsed="false"/>
    <row r="819" customFormat="false" ht="15.75" hidden="false" customHeight="true" outlineLevel="0" collapsed="false"/>
    <row r="820" customFormat="false" ht="15.75" hidden="false" customHeight="true" outlineLevel="0" collapsed="false"/>
    <row r="821" customFormat="false" ht="15.75" hidden="false" customHeight="true" outlineLevel="0" collapsed="false"/>
    <row r="822" customFormat="false" ht="15.75" hidden="false" customHeight="true" outlineLevel="0" collapsed="false"/>
    <row r="823" customFormat="false" ht="15.75" hidden="false" customHeight="true" outlineLevel="0" collapsed="false"/>
    <row r="824" customFormat="false" ht="15.75" hidden="false" customHeight="true" outlineLevel="0" collapsed="false"/>
    <row r="825" customFormat="false" ht="15.75" hidden="false" customHeight="true" outlineLevel="0" collapsed="false"/>
    <row r="826" customFormat="false" ht="15.75" hidden="false" customHeight="true" outlineLevel="0" collapsed="false"/>
    <row r="827" customFormat="false" ht="15.75" hidden="false" customHeight="true" outlineLevel="0" collapsed="false"/>
    <row r="828" customFormat="false" ht="15.75" hidden="false" customHeight="true" outlineLevel="0" collapsed="false"/>
    <row r="829" customFormat="false" ht="15.75" hidden="false" customHeight="true" outlineLevel="0" collapsed="false"/>
    <row r="830" customFormat="false" ht="15.75" hidden="false" customHeight="true" outlineLevel="0" collapsed="false"/>
    <row r="831" customFormat="false" ht="15.75" hidden="false" customHeight="true" outlineLevel="0" collapsed="false"/>
    <row r="832" customFormat="false" ht="15.75" hidden="false" customHeight="true" outlineLevel="0" collapsed="false"/>
    <row r="833" customFormat="false" ht="15.75" hidden="false" customHeight="true" outlineLevel="0" collapsed="false"/>
    <row r="834" customFormat="false" ht="15.75" hidden="false" customHeight="true" outlineLevel="0" collapsed="false"/>
    <row r="835" customFormat="false" ht="15.75" hidden="false" customHeight="true" outlineLevel="0" collapsed="false"/>
    <row r="836" customFormat="false" ht="15.75" hidden="false" customHeight="true" outlineLevel="0" collapsed="false"/>
    <row r="837" customFormat="false" ht="15.75" hidden="false" customHeight="true" outlineLevel="0" collapsed="false"/>
    <row r="838" customFormat="false" ht="15.75" hidden="false" customHeight="true" outlineLevel="0" collapsed="false"/>
    <row r="839" customFormat="false" ht="15.75" hidden="false" customHeight="true" outlineLevel="0" collapsed="false"/>
    <row r="840" customFormat="false" ht="15.75" hidden="false" customHeight="true" outlineLevel="0" collapsed="false"/>
    <row r="841" customFormat="false" ht="15.75" hidden="false" customHeight="true" outlineLevel="0" collapsed="false"/>
    <row r="842" customFormat="false" ht="15.75" hidden="false" customHeight="true" outlineLevel="0" collapsed="false"/>
    <row r="843" customFormat="false" ht="15.75" hidden="false" customHeight="true" outlineLevel="0" collapsed="false"/>
    <row r="844" customFormat="false" ht="15.75" hidden="false" customHeight="true" outlineLevel="0" collapsed="false"/>
    <row r="845" customFormat="false" ht="15.75" hidden="false" customHeight="true" outlineLevel="0" collapsed="false"/>
    <row r="846" customFormat="false" ht="15.75" hidden="false" customHeight="true" outlineLevel="0" collapsed="false"/>
    <row r="847" customFormat="false" ht="15.75" hidden="false" customHeight="true" outlineLevel="0" collapsed="false"/>
    <row r="848" customFormat="false" ht="15.75" hidden="false" customHeight="true" outlineLevel="0" collapsed="false"/>
    <row r="849" customFormat="false" ht="15.75" hidden="false" customHeight="true" outlineLevel="0" collapsed="false"/>
    <row r="850" customFormat="false" ht="15.75" hidden="false" customHeight="true" outlineLevel="0" collapsed="false"/>
    <row r="851" customFormat="false" ht="15.75" hidden="false" customHeight="true" outlineLevel="0" collapsed="false"/>
    <row r="852" customFormat="false" ht="15.75" hidden="false" customHeight="true" outlineLevel="0" collapsed="false"/>
    <row r="853" customFormat="false" ht="15.75" hidden="false" customHeight="true" outlineLevel="0" collapsed="false"/>
    <row r="854" customFormat="false" ht="15.75" hidden="false" customHeight="true" outlineLevel="0" collapsed="false"/>
    <row r="855" customFormat="false" ht="15.75" hidden="false" customHeight="true" outlineLevel="0" collapsed="false"/>
    <row r="856" customFormat="false" ht="15.75" hidden="false" customHeight="true" outlineLevel="0" collapsed="false"/>
    <row r="857" customFormat="false" ht="15.75" hidden="false" customHeight="true" outlineLevel="0" collapsed="false"/>
    <row r="858" customFormat="false" ht="15.75" hidden="false" customHeight="true" outlineLevel="0" collapsed="false"/>
    <row r="859" customFormat="false" ht="15.75" hidden="false" customHeight="true" outlineLevel="0" collapsed="false"/>
    <row r="860" customFormat="false" ht="15.75" hidden="false" customHeight="true" outlineLevel="0" collapsed="false"/>
    <row r="861" customFormat="false" ht="15.75" hidden="false" customHeight="true" outlineLevel="0" collapsed="false"/>
    <row r="862" customFormat="false" ht="15.75" hidden="false" customHeight="true" outlineLevel="0" collapsed="false"/>
    <row r="863" customFormat="false" ht="15.75" hidden="false" customHeight="true" outlineLevel="0" collapsed="false"/>
    <row r="864" customFormat="false" ht="15.75" hidden="false" customHeight="true" outlineLevel="0" collapsed="false"/>
    <row r="865" customFormat="false" ht="15.75" hidden="false" customHeight="true" outlineLevel="0" collapsed="false"/>
    <row r="866" customFormat="false" ht="15.75" hidden="false" customHeight="true" outlineLevel="0" collapsed="false"/>
    <row r="867" customFormat="false" ht="15.75" hidden="false" customHeight="true" outlineLevel="0" collapsed="false"/>
    <row r="868" customFormat="false" ht="15.75" hidden="false" customHeight="true" outlineLevel="0" collapsed="false"/>
    <row r="869" customFormat="false" ht="15.75" hidden="false" customHeight="true" outlineLevel="0" collapsed="false"/>
    <row r="870" customFormat="false" ht="15.75" hidden="false" customHeight="true" outlineLevel="0" collapsed="false"/>
    <row r="871" customFormat="false" ht="15.75" hidden="false" customHeight="true" outlineLevel="0" collapsed="false"/>
    <row r="872" customFormat="false" ht="15.75" hidden="false" customHeight="true" outlineLevel="0" collapsed="false"/>
    <row r="873" customFormat="false" ht="15.75" hidden="false" customHeight="true" outlineLevel="0" collapsed="false"/>
    <row r="874" customFormat="false" ht="15.75" hidden="false" customHeight="true" outlineLevel="0" collapsed="false"/>
    <row r="875" customFormat="false" ht="15.75" hidden="false" customHeight="true" outlineLevel="0" collapsed="false"/>
    <row r="876" customFormat="false" ht="15.75" hidden="false" customHeight="true" outlineLevel="0" collapsed="false"/>
    <row r="877" customFormat="false" ht="15.75" hidden="false" customHeight="true" outlineLevel="0" collapsed="false"/>
    <row r="878" customFormat="false" ht="15.75" hidden="false" customHeight="true" outlineLevel="0" collapsed="false"/>
    <row r="879" customFormat="false" ht="15.75" hidden="false" customHeight="true" outlineLevel="0" collapsed="false"/>
    <row r="880" customFormat="false" ht="15.75" hidden="false" customHeight="true" outlineLevel="0" collapsed="false"/>
    <row r="881" customFormat="false" ht="15.75" hidden="false" customHeight="true" outlineLevel="0" collapsed="false"/>
    <row r="882" customFormat="false" ht="15.75" hidden="false" customHeight="true" outlineLevel="0" collapsed="false"/>
    <row r="883" customFormat="false" ht="15.75" hidden="false" customHeight="true" outlineLevel="0" collapsed="false"/>
    <row r="884" customFormat="false" ht="15.75" hidden="false" customHeight="true" outlineLevel="0" collapsed="false"/>
    <row r="885" customFormat="false" ht="15.75" hidden="false" customHeight="true" outlineLevel="0" collapsed="false"/>
    <row r="886" customFormat="false" ht="15.75" hidden="false" customHeight="true" outlineLevel="0" collapsed="false"/>
    <row r="887" customFormat="false" ht="15.75" hidden="false" customHeight="true" outlineLevel="0" collapsed="false"/>
    <row r="888" customFormat="false" ht="15.75" hidden="false" customHeight="true" outlineLevel="0" collapsed="false"/>
    <row r="889" customFormat="false" ht="15.75" hidden="false" customHeight="true" outlineLevel="0" collapsed="false"/>
    <row r="890" customFormat="false" ht="15.75" hidden="false" customHeight="true" outlineLevel="0" collapsed="false"/>
    <row r="891" customFormat="false" ht="15.75" hidden="false" customHeight="true" outlineLevel="0" collapsed="false"/>
    <row r="892" customFormat="false" ht="15.75" hidden="false" customHeight="true" outlineLevel="0" collapsed="false"/>
    <row r="893" customFormat="false" ht="15.75" hidden="false" customHeight="true" outlineLevel="0" collapsed="false"/>
    <row r="894" customFormat="false" ht="15.75" hidden="false" customHeight="true" outlineLevel="0" collapsed="false"/>
    <row r="895" customFormat="false" ht="15.75" hidden="false" customHeight="true" outlineLevel="0" collapsed="false"/>
    <row r="896" customFormat="false" ht="15.75" hidden="false" customHeight="true" outlineLevel="0" collapsed="false"/>
    <row r="897" customFormat="false" ht="15.75" hidden="false" customHeight="true" outlineLevel="0" collapsed="false"/>
    <row r="898" customFormat="false" ht="15.75" hidden="false" customHeight="true" outlineLevel="0" collapsed="false"/>
    <row r="899" customFormat="false" ht="15.75" hidden="false" customHeight="true" outlineLevel="0" collapsed="false"/>
    <row r="900" customFormat="false" ht="15.75" hidden="false" customHeight="true" outlineLevel="0" collapsed="false"/>
    <row r="901" customFormat="false" ht="15.75" hidden="false" customHeight="true" outlineLevel="0" collapsed="false"/>
    <row r="902" customFormat="false" ht="15.75" hidden="false" customHeight="true" outlineLevel="0" collapsed="false"/>
    <row r="903" customFormat="false" ht="15.75" hidden="false" customHeight="true" outlineLevel="0" collapsed="false"/>
    <row r="904" customFormat="false" ht="15.75" hidden="false" customHeight="true" outlineLevel="0" collapsed="false"/>
    <row r="905" customFormat="false" ht="15.75" hidden="false" customHeight="true" outlineLevel="0" collapsed="false"/>
    <row r="906" customFormat="false" ht="15.75" hidden="false" customHeight="true" outlineLevel="0" collapsed="false"/>
    <row r="907" customFormat="false" ht="15.75" hidden="false" customHeight="true" outlineLevel="0" collapsed="false"/>
    <row r="908" customFormat="false" ht="15.75" hidden="false" customHeight="true" outlineLevel="0" collapsed="false"/>
    <row r="909" customFormat="false" ht="15.75" hidden="false" customHeight="true" outlineLevel="0" collapsed="false"/>
    <row r="910" customFormat="false" ht="15.75" hidden="false" customHeight="true" outlineLevel="0" collapsed="false"/>
    <row r="911" customFormat="false" ht="15.75" hidden="false" customHeight="true" outlineLevel="0" collapsed="false"/>
    <row r="912" customFormat="false" ht="15.75" hidden="false" customHeight="true" outlineLevel="0" collapsed="false"/>
    <row r="913" customFormat="false" ht="15.75" hidden="false" customHeight="true" outlineLevel="0" collapsed="false"/>
    <row r="914" customFormat="false" ht="15.75" hidden="false" customHeight="true" outlineLevel="0" collapsed="false"/>
    <row r="915" customFormat="false" ht="15.75" hidden="false" customHeight="true" outlineLevel="0" collapsed="false"/>
    <row r="916" customFormat="false" ht="15.75" hidden="false" customHeight="true" outlineLevel="0" collapsed="false"/>
    <row r="917" customFormat="false" ht="15.75" hidden="false" customHeight="true" outlineLevel="0" collapsed="false"/>
    <row r="918" customFormat="false" ht="15.75" hidden="false" customHeight="true" outlineLevel="0" collapsed="false"/>
    <row r="919" customFormat="false" ht="15.75" hidden="false" customHeight="true" outlineLevel="0" collapsed="false"/>
    <row r="920" customFormat="false" ht="15.75" hidden="false" customHeight="true" outlineLevel="0" collapsed="false"/>
    <row r="921" customFormat="false" ht="15.75" hidden="false" customHeight="true" outlineLevel="0" collapsed="false"/>
    <row r="922" customFormat="false" ht="15.75" hidden="false" customHeight="true" outlineLevel="0" collapsed="false"/>
    <row r="923" customFormat="false" ht="15.75" hidden="false" customHeight="true" outlineLevel="0" collapsed="false"/>
    <row r="924" customFormat="false" ht="15.75" hidden="false" customHeight="true" outlineLevel="0" collapsed="false"/>
    <row r="925" customFormat="false" ht="15.75" hidden="false" customHeight="true" outlineLevel="0" collapsed="false"/>
    <row r="926" customFormat="false" ht="15.75" hidden="false" customHeight="true" outlineLevel="0" collapsed="false"/>
    <row r="927" customFormat="false" ht="15.75" hidden="false" customHeight="true" outlineLevel="0" collapsed="false"/>
    <row r="928" customFormat="false" ht="15.75" hidden="false" customHeight="true" outlineLevel="0" collapsed="false"/>
    <row r="929" customFormat="false" ht="15.75" hidden="false" customHeight="true" outlineLevel="0" collapsed="false"/>
    <row r="930" customFormat="false" ht="15.75" hidden="false" customHeight="true" outlineLevel="0" collapsed="false"/>
    <row r="931" customFormat="false" ht="15.75" hidden="false" customHeight="true" outlineLevel="0" collapsed="false"/>
    <row r="932" customFormat="false" ht="15.75" hidden="false" customHeight="true" outlineLevel="0" collapsed="false"/>
    <row r="933" customFormat="false" ht="15.75" hidden="false" customHeight="true" outlineLevel="0" collapsed="false"/>
    <row r="934" customFormat="false" ht="15.75" hidden="false" customHeight="true" outlineLevel="0" collapsed="false"/>
    <row r="935" customFormat="false" ht="15.75" hidden="false" customHeight="true" outlineLevel="0" collapsed="false"/>
    <row r="936" customFormat="false" ht="15.75" hidden="false" customHeight="true" outlineLevel="0" collapsed="false"/>
    <row r="937" customFormat="false" ht="15.75" hidden="false" customHeight="true" outlineLevel="0" collapsed="false"/>
    <row r="938" customFormat="false" ht="15.75" hidden="false" customHeight="true" outlineLevel="0" collapsed="false"/>
    <row r="939" customFormat="false" ht="15.75" hidden="false" customHeight="true" outlineLevel="0" collapsed="false"/>
    <row r="940" customFormat="false" ht="15.75" hidden="false" customHeight="true" outlineLevel="0" collapsed="false"/>
    <row r="941" customFormat="false" ht="15.75" hidden="false" customHeight="true" outlineLevel="0" collapsed="false"/>
    <row r="942" customFormat="false" ht="15.75" hidden="false" customHeight="true" outlineLevel="0" collapsed="false"/>
    <row r="943" customFormat="false" ht="15.75" hidden="false" customHeight="true" outlineLevel="0" collapsed="false"/>
    <row r="944" customFormat="false" ht="15.75" hidden="false" customHeight="true" outlineLevel="0" collapsed="false"/>
    <row r="945" customFormat="false" ht="15.75" hidden="false" customHeight="true" outlineLevel="0" collapsed="false"/>
    <row r="946" customFormat="false" ht="15.75" hidden="false" customHeight="true" outlineLevel="0" collapsed="false"/>
    <row r="947" customFormat="false" ht="15.75" hidden="false" customHeight="true" outlineLevel="0" collapsed="false"/>
    <row r="948" customFormat="false" ht="15.75" hidden="false" customHeight="true" outlineLevel="0" collapsed="false"/>
    <row r="949" customFormat="false" ht="15.75" hidden="false" customHeight="true" outlineLevel="0" collapsed="false"/>
    <row r="950" customFormat="false" ht="15.75" hidden="false" customHeight="true" outlineLevel="0" collapsed="false"/>
    <row r="951" customFormat="false" ht="15.75" hidden="false" customHeight="true" outlineLevel="0" collapsed="false"/>
    <row r="952" customFormat="false" ht="15.75" hidden="false" customHeight="true" outlineLevel="0" collapsed="false"/>
    <row r="953" customFormat="false" ht="15.75" hidden="false" customHeight="true" outlineLevel="0" collapsed="false"/>
    <row r="954" customFormat="false" ht="15.75" hidden="false" customHeight="true" outlineLevel="0" collapsed="false"/>
    <row r="955" customFormat="false" ht="15.75" hidden="false" customHeight="true" outlineLevel="0" collapsed="false"/>
    <row r="956" customFormat="false" ht="15.75" hidden="false" customHeight="true" outlineLevel="0" collapsed="false"/>
    <row r="957" customFormat="false" ht="15.75" hidden="false" customHeight="true" outlineLevel="0" collapsed="false"/>
    <row r="958" customFormat="false" ht="15.75" hidden="false" customHeight="true" outlineLevel="0" collapsed="false"/>
    <row r="959" customFormat="false" ht="15.75" hidden="false" customHeight="true" outlineLevel="0" collapsed="false"/>
    <row r="960" customFormat="false" ht="15.75" hidden="false" customHeight="true" outlineLevel="0" collapsed="false"/>
    <row r="961" customFormat="false" ht="15.75" hidden="false" customHeight="true" outlineLevel="0" collapsed="false"/>
    <row r="962" customFormat="false" ht="15.75" hidden="false" customHeight="true" outlineLevel="0" collapsed="false"/>
    <row r="963" customFormat="false" ht="15.75" hidden="false" customHeight="true" outlineLevel="0" collapsed="false"/>
    <row r="964" customFormat="false" ht="15.75" hidden="false" customHeight="true" outlineLevel="0" collapsed="false"/>
    <row r="965" customFormat="false" ht="15.75" hidden="false" customHeight="true" outlineLevel="0" collapsed="false"/>
    <row r="966" customFormat="false" ht="15.75" hidden="false" customHeight="true" outlineLevel="0" collapsed="false"/>
    <row r="967" customFormat="false" ht="15.75" hidden="false" customHeight="true" outlineLevel="0" collapsed="false"/>
    <row r="968" customFormat="false" ht="15.75" hidden="false" customHeight="true" outlineLevel="0" collapsed="false"/>
    <row r="969" customFormat="false" ht="15.75" hidden="false" customHeight="true" outlineLevel="0" collapsed="false"/>
    <row r="970" customFormat="false" ht="15.75" hidden="false" customHeight="true" outlineLevel="0" collapsed="false"/>
    <row r="971" customFormat="false" ht="15.75" hidden="false" customHeight="true" outlineLevel="0" collapsed="false"/>
    <row r="972" customFormat="false" ht="15.75" hidden="false" customHeight="true" outlineLevel="0" collapsed="false"/>
    <row r="973" customFormat="false" ht="15.75" hidden="false" customHeight="true" outlineLevel="0" collapsed="false"/>
    <row r="974" customFormat="false" ht="15.75" hidden="false" customHeight="true" outlineLevel="0" collapsed="false"/>
    <row r="975" customFormat="false" ht="15.75" hidden="false" customHeight="true" outlineLevel="0" collapsed="false"/>
    <row r="976" customFormat="false" ht="15.75" hidden="false" customHeight="true" outlineLevel="0" collapsed="false"/>
    <row r="977" customFormat="false" ht="15.75" hidden="false" customHeight="true" outlineLevel="0" collapsed="false"/>
    <row r="978" customFormat="false" ht="15.75" hidden="false" customHeight="true" outlineLevel="0" collapsed="false"/>
    <row r="979" customFormat="false" ht="15.75" hidden="false" customHeight="true" outlineLevel="0" collapsed="false"/>
    <row r="980" customFormat="false" ht="15.75" hidden="false" customHeight="true" outlineLevel="0" collapsed="false"/>
    <row r="981" customFormat="false" ht="15.75" hidden="false" customHeight="true" outlineLevel="0" collapsed="false"/>
    <row r="982" customFormat="false" ht="15.75" hidden="false" customHeight="true" outlineLevel="0" collapsed="false"/>
    <row r="983" customFormat="false" ht="15.75" hidden="false" customHeight="true" outlineLevel="0" collapsed="false"/>
    <row r="984" customFormat="false" ht="15.75" hidden="false" customHeight="true" outlineLevel="0" collapsed="false"/>
    <row r="985" customFormat="false" ht="15.75" hidden="false" customHeight="true" outlineLevel="0" collapsed="false"/>
    <row r="986" customFormat="false" ht="15.75" hidden="false" customHeight="true" outlineLevel="0" collapsed="false"/>
    <row r="987" customFormat="false" ht="15.75" hidden="false" customHeight="true" outlineLevel="0" collapsed="false"/>
    <row r="988" customFormat="false" ht="15.75" hidden="false" customHeight="true" outlineLevel="0" collapsed="false"/>
    <row r="989" customFormat="false" ht="15.75" hidden="false" customHeight="true" outlineLevel="0" collapsed="false"/>
    <row r="990" customFormat="false" ht="15.75" hidden="false" customHeight="true" outlineLevel="0" collapsed="false"/>
    <row r="991" customFormat="false" ht="15.75" hidden="false" customHeight="true" outlineLevel="0" collapsed="false"/>
    <row r="992" customFormat="false" ht="15.75" hidden="false" customHeight="true" outlineLevel="0" collapsed="false"/>
    <row r="993" customFormat="false" ht="15.75" hidden="false" customHeight="true" outlineLevel="0" collapsed="false"/>
    <row r="994" customFormat="false" ht="15.75" hidden="false" customHeight="true" outlineLevel="0" collapsed="false"/>
    <row r="995" customFormat="false" ht="15.75" hidden="false" customHeight="true" outlineLevel="0" collapsed="false"/>
    <row r="996" customFormat="false" ht="15.75" hidden="false" customHeight="true" outlineLevel="0" collapsed="false"/>
    <row r="997" customFormat="false" ht="15.75" hidden="false" customHeight="true" outlineLevel="0" collapsed="false"/>
    <row r="998" customFormat="false" ht="15.75" hidden="false" customHeight="true" outlineLevel="0" collapsed="false"/>
    <row r="999" customFormat="false" ht="15.75" hidden="false" customHeight="true" outlineLevel="0" collapsed="false"/>
    <row r="1000" customFormat="false" ht="15.75" hidden="false" customHeight="true" outlineLevel="0" collapsed="false"/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2026-06-22T19:26:19Z</dcterms:created>
  <dc:creator>openpyxl</dc:creator>
  <dc:description/>
  <dc:language>en-US</dc:language>
  <cp:lastModifiedBy/>
  <dcterms:modified xsi:type="dcterms:W3CDTF">2026-09-04T10:49:57Z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